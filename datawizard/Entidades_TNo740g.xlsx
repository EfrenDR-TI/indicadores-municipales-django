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13_ncr:1_{BEDF12DE-5864-4A4F-BD03-EE9E42DD0C04}" xr6:coauthVersionLast="47" xr6:coauthVersionMax="47" xr10:uidLastSave="{00000000-0000-0000-0000-000000000000}"/>
  <bookViews>
    <workbookView xWindow="-110" yWindow="-110" windowWidth="25420" windowHeight="16300" xr2:uid="{35CE6EC9-EEAB-4A15-A5AF-20194D567C07}"/>
  </bookViews>
  <sheets>
    <sheet name="Entidades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3" i="1" l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L3" i="1"/>
  <c r="AL2" i="1"/>
</calcChain>
</file>

<file path=xl/sharedStrings.xml><?xml version="1.0" encoding="utf-8"?>
<sst xmlns="http://schemas.openxmlformats.org/spreadsheetml/2006/main" count="175" uniqueCount="175">
  <si>
    <t>mx-zac</t>
  </si>
  <si>
    <t>mx-yuc</t>
  </si>
  <si>
    <t>mx-ver</t>
  </si>
  <si>
    <t>mx-tla</t>
  </si>
  <si>
    <t>mx-tam</t>
  </si>
  <si>
    <t>mx-tab</t>
  </si>
  <si>
    <t>mx-son</t>
  </si>
  <si>
    <t>mx-slp</t>
  </si>
  <si>
    <t>mx-roo</t>
  </si>
  <si>
    <t>mx-nle</t>
  </si>
  <si>
    <t>mx-nay</t>
  </si>
  <si>
    <t>mx-mor</t>
  </si>
  <si>
    <t>mx-mic</t>
  </si>
  <si>
    <t>mx-jal</t>
  </si>
  <si>
    <t>mx-hid</t>
  </si>
  <si>
    <t>mx-gro</t>
  </si>
  <si>
    <t>mx-gua</t>
  </si>
  <si>
    <t>mx-dur</t>
  </si>
  <si>
    <t>mx-coa</t>
  </si>
  <si>
    <t>mx-chh</t>
  </si>
  <si>
    <t>mx-chp</t>
  </si>
  <si>
    <t>mx-bcn</t>
  </si>
  <si>
    <t>mx-agu</t>
  </si>
  <si>
    <t>09</t>
  </si>
  <si>
    <t>05</t>
  </si>
  <si>
    <t>08</t>
  </si>
  <si>
    <t>07</t>
  </si>
  <si>
    <t>04</t>
  </si>
  <si>
    <t>03</t>
  </si>
  <si>
    <t>02</t>
  </si>
  <si>
    <t>01</t>
  </si>
  <si>
    <t>mx-col</t>
  </si>
  <si>
    <t>06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</si>
  <si>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</si>
  <si>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</si>
  <si>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</si>
  <si>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</si>
  <si>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</si>
  <si>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</si>
  <si>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</si>
  <si>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</si>
  <si>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</si>
  <si>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</si>
  <si>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</si>
  <si>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</si>
  <si>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</si>
  <si>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</si>
  <si>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</si>
  <si>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</si>
  <si>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</si>
  <si>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</si>
  <si>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</si>
  <si>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</si>
  <si>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</si>
  <si>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</si>
  <si>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</si>
  <si>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mx-bcs</t>
  </si>
  <si>
    <t>mx-cam</t>
  </si>
  <si>
    <t>mx-dif</t>
  </si>
  <si>
    <t>mx-mex</t>
  </si>
  <si>
    <t>mx-oax</t>
  </si>
  <si>
    <t>mx-pue</t>
  </si>
  <si>
    <t>mx-que</t>
  </si>
  <si>
    <t>mx-sin</t>
  </si>
  <si>
    <t>Pob_Ind</t>
  </si>
  <si>
    <t>NOM_ENT</t>
  </si>
  <si>
    <t>Baja California</t>
  </si>
  <si>
    <t>Baja California Sur</t>
  </si>
  <si>
    <t>AG</t>
  </si>
  <si>
    <t>BC</t>
  </si>
  <si>
    <t>CO</t>
  </si>
  <si>
    <t>CH</t>
  </si>
  <si>
    <t>GR</t>
  </si>
  <si>
    <t>HI</t>
  </si>
  <si>
    <t>MI</t>
  </si>
  <si>
    <t>MO</t>
  </si>
  <si>
    <t>NL</t>
  </si>
  <si>
    <t>BS</t>
  </si>
  <si>
    <t>Campeche</t>
  </si>
  <si>
    <t>CP</t>
  </si>
  <si>
    <t>Colima</t>
  </si>
  <si>
    <t>CL</t>
  </si>
  <si>
    <t>Chiapas</t>
  </si>
  <si>
    <t>CS</t>
  </si>
  <si>
    <t>Chihuahua</t>
  </si>
  <si>
    <t>Ciudad de México</t>
  </si>
  <si>
    <t>CM</t>
  </si>
  <si>
    <t>Durango</t>
  </si>
  <si>
    <t>DG</t>
  </si>
  <si>
    <t>Guanajuato</t>
  </si>
  <si>
    <t>GT</t>
  </si>
  <si>
    <t>Guerrero</t>
  </si>
  <si>
    <t>Hidalgo</t>
  </si>
  <si>
    <t>Jalisco</t>
  </si>
  <si>
    <t>JL</t>
  </si>
  <si>
    <t>México</t>
  </si>
  <si>
    <t>MX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</si>
  <si>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</si>
  <si>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</si>
  <si>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</si>
  <si>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</si>
  <si>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</si>
  <si>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</si>
  <si>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</si>
  <si>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</si>
  <si>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</si>
  <si>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</si>
  <si>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</si>
  <si>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</si>
  <si>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</si>
  <si>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</si>
  <si>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</si>
  <si>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>PU</t>
  </si>
  <si>
    <t>SL</t>
  </si>
  <si>
    <t>SI</t>
  </si>
  <si>
    <t>SO</t>
  </si>
  <si>
    <t>NY</t>
  </si>
  <si>
    <t>OX</t>
  </si>
  <si>
    <t>QT</t>
  </si>
  <si>
    <t>QR</t>
  </si>
  <si>
    <t>TB</t>
  </si>
  <si>
    <t>TM</t>
  </si>
  <si>
    <t>TX</t>
  </si>
  <si>
    <t>VZ</t>
  </si>
  <si>
    <t>YU</t>
  </si>
  <si>
    <t>ZT</t>
  </si>
  <si>
    <t>Aguascalientes</t>
  </si>
  <si>
    <t>GPR_INEGI_T_ENT</t>
  </si>
  <si>
    <t>GPR_INEGI_H_ENT</t>
  </si>
  <si>
    <t>GPR_INEGI_M_ENT</t>
  </si>
  <si>
    <t>PORC_ANALFA_T_ENT</t>
  </si>
  <si>
    <t>PORC_ANALFA_H_ENT</t>
  </si>
  <si>
    <t>PORC_ANALFA_M_ENT</t>
  </si>
  <si>
    <t>PORC_ALEB_20A24_ENT</t>
  </si>
  <si>
    <t>PORC_ALEMS_20A24_ENT</t>
  </si>
  <si>
    <t>tasa_asis_3a5_ent</t>
  </si>
  <si>
    <t>tasa_asis_6a11_ent</t>
  </si>
  <si>
    <t>tasa_asis_12a14_ent</t>
  </si>
  <si>
    <t>tasa_asis_15a17_ent</t>
  </si>
  <si>
    <t>Coahuila de Zaragoza</t>
  </si>
  <si>
    <t>Michoacán de Ocampo</t>
  </si>
  <si>
    <t>Veracruz de Ignacio de la Llave</t>
  </si>
  <si>
    <t>INDIGENA_ENT</t>
  </si>
  <si>
    <t>NO_IND_ENT</t>
  </si>
  <si>
    <t>POB_TOTAL_ENT</t>
  </si>
  <si>
    <t>PORC_IND_ENT</t>
  </si>
  <si>
    <t>PORC_NO_IND_ENT</t>
  </si>
  <si>
    <t>HLI_3YMAS_ENT</t>
  </si>
  <si>
    <t>NO_HLI_ENT</t>
  </si>
  <si>
    <t>NE_HLI_ENT</t>
  </si>
  <si>
    <t>POB3YMAS_ENT</t>
  </si>
  <si>
    <t>HLI_3mas_espa_ENT</t>
  </si>
  <si>
    <t>HLI_3mas_Noespa_ENT</t>
  </si>
  <si>
    <t>HLI_3mas_NE_ENT</t>
  </si>
  <si>
    <t>HLI_3A5_ENT</t>
  </si>
  <si>
    <t>POB_3A5_ENT</t>
  </si>
  <si>
    <t>PORC_HLI_3A5_ENT</t>
  </si>
  <si>
    <t>HLI_6A11_ENT</t>
  </si>
  <si>
    <t>POB_6A11_ENT</t>
  </si>
  <si>
    <t>PORC_HLI_6A11_ENT</t>
  </si>
  <si>
    <t>HLI_12A14_ENT</t>
  </si>
  <si>
    <t>POB_12A14_ENT</t>
  </si>
  <si>
    <t>PORC_HLI_12A14_ENT</t>
  </si>
  <si>
    <t>HLI_15A17_ENT</t>
  </si>
  <si>
    <t>POB_15A17_ENT</t>
  </si>
  <si>
    <t>PORC_HLI_15A17_ENT</t>
  </si>
  <si>
    <t>porc_hli_3mas_ENT</t>
  </si>
  <si>
    <t>porc_no_hli_ENT</t>
  </si>
  <si>
    <t>porc_ne_hli_ENT</t>
  </si>
  <si>
    <t>porc_hli_3mas_espa_ENT</t>
  </si>
  <si>
    <t>porc_hii_3mas_Noespa_ENT</t>
  </si>
  <si>
    <t>Porc_hli_3mas_NE_ENT</t>
  </si>
  <si>
    <t>CVE_ENT</t>
  </si>
  <si>
    <t>Abreviado_Entidad</t>
  </si>
  <si>
    <t>COD_ENT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</si>
</sst>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00"/>
    <numFmt numFmtId="166" formatCode="0.0000000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4" borderId="1" xfId="0" applyFill="1" applyBorder="1"/>
    <xf numFmtId="164" fontId="0" fillId="0" borderId="1" xfId="0" applyNumberFormat="1" applyBorder="1"/>
    <xf numFmtId="0" fontId="0" fillId="2" borderId="1" xfId="0" applyFill="1" applyBorder="1"/>
    <xf numFmtId="0" fontId="0" fillId="2" borderId="1" xfId="0" quotePrefix="1" applyFill="1" applyBorder="1" applyAlignment="1">
      <alignment horizontal="right"/>
    </xf>
    <xf numFmtId="164" fontId="0" fillId="2" borderId="1" xfId="0" applyNumberFormat="1" applyFill="1" applyBorder="1"/>
    <xf numFmtId="0" fontId="0" fillId="3" borderId="1" xfId="0" applyFill="1" applyBorder="1"/>
    <xf numFmtId="0" fontId="0" fillId="3" borderId="1" xfId="0" quotePrefix="1" applyFill="1" applyBorder="1" applyAlignment="1">
      <alignment horizontal="right"/>
    </xf>
    <xf numFmtId="164" fontId="0" fillId="3" borderId="1" xfId="0" applyNumberFormat="1" applyFill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F677-E299-4FCF-B49B-E652017B631D}">
  <dimension ref="A1:AU33"/>
  <sheetViews>
    <sheetView showGridLines="0" tabSelected="1" workbookViewId="0">
      <selection activeCell="A35" sqref="A35"/>
    </sheetView>
  </sheetViews>
  <sheetFormatPr baseColWidth="10" defaultRowHeight="14.5" x14ac:dyDescent="0.35"/>
  <cols>
    <col min="1" max="1" width="8.1796875" bestFit="1" customWidth="1"/>
    <col min="2" max="2" width="8.81640625" bestFit="1" customWidth="1"/>
    <col min="3" max="3" width="28.26953125" bestFit="1" customWidth="1"/>
    <col min="4" max="4" width="18.81640625" customWidth="1"/>
    <col min="5" max="5" width="8.1796875" bestFit="1" customWidth="1"/>
    <col min="6" max="6" width="16.54296875" bestFit="1" customWidth="1"/>
    <col min="7" max="7" width="16.81640625" bestFit="1" customWidth="1"/>
    <col min="8" max="8" width="17.1796875" bestFit="1" customWidth="1"/>
    <col min="9" max="9" width="19.7265625" bestFit="1" customWidth="1"/>
    <col min="10" max="10" width="20" bestFit="1" customWidth="1"/>
    <col min="11" max="11" width="20.26953125" bestFit="1" customWidth="1"/>
    <col min="12" max="12" width="21.453125" bestFit="1" customWidth="1"/>
    <col min="13" max="13" width="22.81640625" bestFit="1" customWidth="1"/>
    <col min="14" max="14" width="17.1796875" bestFit="1" customWidth="1"/>
    <col min="15" max="15" width="18.1796875" bestFit="1" customWidth="1"/>
    <col min="16" max="17" width="19.1796875" bestFit="1" customWidth="1"/>
    <col min="18" max="18" width="14" bestFit="1" customWidth="1"/>
    <col min="19" max="19" width="12.26953125" bestFit="1" customWidth="1"/>
    <col min="20" max="20" width="15.26953125" bestFit="1" customWidth="1"/>
    <col min="21" max="21" width="14.26953125" bestFit="1" customWidth="1"/>
    <col min="22" max="22" width="18.1796875" bestFit="1" customWidth="1"/>
    <col min="23" max="23" width="14.54296875" bestFit="1" customWidth="1"/>
    <col min="24" max="24" width="11.7265625" bestFit="1" customWidth="1"/>
    <col min="25" max="25" width="11.26953125" bestFit="1" customWidth="1"/>
    <col min="26" max="26" width="14.7265625" bestFit="1" customWidth="1"/>
    <col min="27" max="27" width="18.26953125" bestFit="1" customWidth="1"/>
    <col min="28" max="29" width="18.26953125" customWidth="1"/>
    <col min="30" max="30" width="19" bestFit="1" customWidth="1"/>
    <col min="31" max="31" width="21.7265625" bestFit="1" customWidth="1"/>
    <col min="32" max="32" width="17.1796875" bestFit="1" customWidth="1"/>
    <col min="33" max="33" width="23.54296875" bestFit="1" customWidth="1"/>
    <col min="34" max="34" width="26.1796875" bestFit="1" customWidth="1"/>
    <col min="35" max="35" width="26.1796875" customWidth="1"/>
    <col min="36" max="36" width="12" bestFit="1" customWidth="1"/>
    <col min="37" max="37" width="13" bestFit="1" customWidth="1"/>
    <col min="38" max="38" width="17.81640625" bestFit="1" customWidth="1"/>
    <col min="39" max="39" width="13" bestFit="1" customWidth="1"/>
    <col min="40" max="40" width="14" bestFit="1" customWidth="1"/>
    <col min="41" max="41" width="18.81640625" bestFit="1" customWidth="1"/>
    <col min="42" max="42" width="14" bestFit="1" customWidth="1"/>
    <col min="43" max="43" width="15" bestFit="1" customWidth="1"/>
    <col min="44" max="44" width="19.81640625" bestFit="1" customWidth="1"/>
    <col min="45" max="45" width="14" bestFit="1" customWidth="1"/>
    <col min="46" max="46" width="15" bestFit="1" customWidth="1"/>
    <col min="47" max="47" width="19.81640625" bestFit="1" customWidth="1"/>
  </cols>
  <sheetData>
    <row r="1" spans="1:47" x14ac:dyDescent="0.35">
      <c r="A1" s="1" t="s">
        <v>174</v>
      </c>
      <c r="B1" s="1" t="s">
        <v>172</v>
      </c>
      <c r="C1" s="1" t="s">
        <v>65</v>
      </c>
      <c r="D1" s="1" t="s">
        <v>173</v>
      </c>
      <c r="E1" s="1" t="s">
        <v>64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2" t="s">
        <v>142</v>
      </c>
      <c r="S1" s="2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166</v>
      </c>
      <c r="AB1" s="1" t="s">
        <v>167</v>
      </c>
      <c r="AC1" s="1" t="s">
        <v>168</v>
      </c>
      <c r="AD1" s="1" t="s">
        <v>151</v>
      </c>
      <c r="AE1" s="1" t="s">
        <v>152</v>
      </c>
      <c r="AF1" s="1" t="s">
        <v>153</v>
      </c>
      <c r="AG1" s="1" t="s">
        <v>169</v>
      </c>
      <c r="AH1" s="1" t="s">
        <v>170</v>
      </c>
      <c r="AI1" s="1" t="s">
        <v>171</v>
      </c>
      <c r="AJ1" s="2" t="s">
        <v>154</v>
      </c>
      <c r="AK1" s="2" t="s">
        <v>155</v>
      </c>
      <c r="AL1" s="1" t="s">
        <v>156</v>
      </c>
      <c r="AM1" s="2" t="s">
        <v>157</v>
      </c>
      <c r="AN1" s="2" t="s">
        <v>158</v>
      </c>
      <c r="AO1" s="1" t="s">
        <v>159</v>
      </c>
      <c r="AP1" s="2" t="s">
        <v>160</v>
      </c>
      <c r="AQ1" s="2" t="s">
        <v>161</v>
      </c>
      <c r="AR1" s="1" t="s">
        <v>162</v>
      </c>
      <c r="AS1" s="2" t="s">
        <v>163</v>
      </c>
      <c r="AT1" s="2" t="s">
        <v>164</v>
      </c>
      <c r="AU1" s="1" t="s">
        <v>165</v>
      </c>
    </row>
    <row r="2" spans="1:47" x14ac:dyDescent="0.35">
      <c r="A2" s="4" t="s">
        <v>22</v>
      </c>
      <c r="B2" s="5" t="s">
        <v>30</v>
      </c>
      <c r="C2" s="5" t="s">
        <v>126</v>
      </c>
      <c r="D2" s="5" t="s">
        <v>68</v>
      </c>
      <c r="E2" s="6">
        <v>0</v>
      </c>
      <c r="F2" s="1">
        <v>10.349134320000001</v>
      </c>
      <c r="G2" s="1">
        <v>10.380185170000003</v>
      </c>
      <c r="H2" s="1">
        <v>10.320266759999999</v>
      </c>
      <c r="I2" s="1">
        <v>2.10876077</v>
      </c>
      <c r="J2" s="1">
        <v>2.0271039699999998</v>
      </c>
      <c r="K2" s="1">
        <v>2.1846738499999998</v>
      </c>
      <c r="L2" s="1">
        <v>91.933553800000013</v>
      </c>
      <c r="M2" s="1">
        <v>60.436939100000011</v>
      </c>
      <c r="N2" s="1">
        <v>59.998985197000017</v>
      </c>
      <c r="O2" s="1">
        <v>96.819693266000016</v>
      </c>
      <c r="P2" s="1">
        <v>91.220201760999998</v>
      </c>
      <c r="Q2" s="1">
        <v>71.017404658000018</v>
      </c>
      <c r="R2" s="1">
        <v>5910</v>
      </c>
      <c r="S2" s="1">
        <v>1419697</v>
      </c>
      <c r="T2" s="1">
        <v>1425607</v>
      </c>
      <c r="U2" s="3">
        <v>0.41456025398304019</v>
      </c>
      <c r="V2" s="3">
        <v>99.585439746016959</v>
      </c>
      <c r="W2" s="1">
        <v>2539</v>
      </c>
      <c r="X2" s="1">
        <v>1349023</v>
      </c>
      <c r="Y2" s="1">
        <v>673</v>
      </c>
      <c r="Z2" s="1">
        <v>1352235</v>
      </c>
      <c r="AA2" s="3">
        <v>0.18776322162937653</v>
      </c>
      <c r="AB2" s="3">
        <v>99.762467322617738</v>
      </c>
      <c r="AC2" s="3">
        <v>4.976945575288319E-2</v>
      </c>
      <c r="AD2" s="1">
        <v>2461</v>
      </c>
      <c r="AE2" s="1">
        <v>25</v>
      </c>
      <c r="AF2" s="1">
        <v>53</v>
      </c>
      <c r="AG2" s="3">
        <v>96.927924379677037</v>
      </c>
      <c r="AH2" s="3">
        <v>0.98463962189838528</v>
      </c>
      <c r="AI2" s="3">
        <v>2.0874359984245765</v>
      </c>
      <c r="AJ2" s="1">
        <v>44</v>
      </c>
      <c r="AK2" s="1">
        <v>78833</v>
      </c>
      <c r="AL2" s="1">
        <f t="shared" ref="AL2:AL33" si="0">(AJ2/AK2)*100</f>
        <v>5.5814189489173313E-2</v>
      </c>
      <c r="AM2" s="1">
        <v>113</v>
      </c>
      <c r="AN2" s="1">
        <v>156683</v>
      </c>
      <c r="AO2" s="1">
        <v>7.212014066618587E-2</v>
      </c>
      <c r="AP2" s="1">
        <v>60</v>
      </c>
      <c r="AQ2" s="1">
        <v>77815</v>
      </c>
      <c r="AR2" s="1">
        <v>7.7105956435134626E-2</v>
      </c>
      <c r="AS2" s="1">
        <v>80</v>
      </c>
      <c r="AT2" s="1">
        <v>78140</v>
      </c>
      <c r="AU2" s="1">
        <v>0.10238034297414896</v>
      </c>
    </row>
    <row r="3" spans="1:47" x14ac:dyDescent="0.35">
      <c r="A3" s="4" t="s">
        <v>21</v>
      </c>
      <c r="B3" s="5" t="s">
        <v>29</v>
      </c>
      <c r="C3" s="5" t="s">
        <v>66</v>
      </c>
      <c r="D3" s="5" t="s">
        <v>69</v>
      </c>
      <c r="E3" s="6">
        <v>0.7</v>
      </c>
      <c r="F3" s="1">
        <v>10.202654539999999</v>
      </c>
      <c r="G3" s="1">
        <v>10.223240730000001</v>
      </c>
      <c r="H3" s="1">
        <v>10.18190948</v>
      </c>
      <c r="I3" s="1">
        <v>1.8211981399999999</v>
      </c>
      <c r="J3" s="1">
        <v>1.65877333</v>
      </c>
      <c r="K3" s="1">
        <v>1.9856457699999999</v>
      </c>
      <c r="L3" s="1">
        <v>89.201402000000016</v>
      </c>
      <c r="M3" s="1">
        <v>61.340819500000002</v>
      </c>
      <c r="N3" s="1">
        <v>50.473511860999999</v>
      </c>
      <c r="O3" s="1">
        <v>93.918915225999982</v>
      </c>
      <c r="P3" s="1">
        <v>92.115838863999997</v>
      </c>
      <c r="Q3" s="1">
        <v>77.352796992999984</v>
      </c>
      <c r="R3" s="1">
        <v>106000</v>
      </c>
      <c r="S3" s="1">
        <v>3663020</v>
      </c>
      <c r="T3" s="1">
        <v>3769020</v>
      </c>
      <c r="U3" s="3">
        <v>2.8124021628964559</v>
      </c>
      <c r="V3" s="3">
        <v>97.187597837103539</v>
      </c>
      <c r="W3" s="1">
        <v>49130</v>
      </c>
      <c r="X3" s="1">
        <v>3555153</v>
      </c>
      <c r="Y3" s="1">
        <v>6561</v>
      </c>
      <c r="Z3" s="1">
        <v>3610844</v>
      </c>
      <c r="AA3" s="3">
        <v>1.3606237212131014</v>
      </c>
      <c r="AB3" s="3">
        <v>98.457673607610857</v>
      </c>
      <c r="AC3" s="3">
        <v>0.18170267117604638</v>
      </c>
      <c r="AD3" s="1">
        <v>46830</v>
      </c>
      <c r="AE3" s="1">
        <v>1324</v>
      </c>
      <c r="AF3" s="1">
        <v>976</v>
      </c>
      <c r="AG3" s="3">
        <v>95.318542641970282</v>
      </c>
      <c r="AH3" s="3">
        <v>2.6948911052310196</v>
      </c>
      <c r="AI3" s="3">
        <v>1.9865662527986974</v>
      </c>
      <c r="AJ3" s="1">
        <v>783</v>
      </c>
      <c r="AK3" s="1">
        <v>175286</v>
      </c>
      <c r="AL3" s="1">
        <f t="shared" si="0"/>
        <v>0.44669853838869045</v>
      </c>
      <c r="AM3" s="1">
        <v>1887</v>
      </c>
      <c r="AN3" s="1">
        <v>365938</v>
      </c>
      <c r="AO3" s="1">
        <v>0.51566112292246225</v>
      </c>
      <c r="AP3" s="1">
        <v>1110</v>
      </c>
      <c r="AQ3" s="1">
        <v>187122</v>
      </c>
      <c r="AR3" s="1">
        <v>0.59319588289992631</v>
      </c>
      <c r="AS3" s="1">
        <v>1493</v>
      </c>
      <c r="AT3" s="1">
        <v>183590</v>
      </c>
      <c r="AU3" s="1">
        <v>0.81322512119396484</v>
      </c>
    </row>
    <row r="4" spans="1:47" x14ac:dyDescent="0.35">
      <c r="A4" s="4" t="s">
        <v>56</v>
      </c>
      <c r="B4" s="5" t="s">
        <v>28</v>
      </c>
      <c r="C4" s="5" t="s">
        <v>67</v>
      </c>
      <c r="D4" s="5" t="s">
        <v>77</v>
      </c>
      <c r="E4" s="6">
        <v>0.2</v>
      </c>
      <c r="F4" s="1">
        <v>10.34254849</v>
      </c>
      <c r="G4" s="1">
        <v>10.284742570000001</v>
      </c>
      <c r="H4" s="1">
        <v>10.40245079</v>
      </c>
      <c r="I4" s="1">
        <v>2.3305084699999998</v>
      </c>
      <c r="J4" s="1">
        <v>2.17449929</v>
      </c>
      <c r="K4" s="1">
        <v>2.4921460299999998</v>
      </c>
      <c r="L4" s="1">
        <v>89.789191400000007</v>
      </c>
      <c r="M4" s="1">
        <v>62.045458000000011</v>
      </c>
      <c r="N4" s="1">
        <v>62.809129671000008</v>
      </c>
      <c r="O4" s="1">
        <v>96.303205852000005</v>
      </c>
      <c r="P4" s="1">
        <v>94.308574879000005</v>
      </c>
      <c r="Q4" s="1">
        <v>81.468566808000006</v>
      </c>
      <c r="R4" s="1">
        <v>30268</v>
      </c>
      <c r="S4" s="1">
        <v>768179</v>
      </c>
      <c r="T4" s="1">
        <v>798447</v>
      </c>
      <c r="U4" s="3">
        <v>3.7908590050435405</v>
      </c>
      <c r="V4" s="3">
        <v>96.209140994956456</v>
      </c>
      <c r="W4" s="1">
        <v>13581</v>
      </c>
      <c r="X4" s="1">
        <v>743914</v>
      </c>
      <c r="Y4" s="1">
        <v>1147</v>
      </c>
      <c r="Z4" s="1">
        <v>758642</v>
      </c>
      <c r="AA4" s="3">
        <v>1.7901724397014664</v>
      </c>
      <c r="AB4" s="3">
        <v>98.058636352851551</v>
      </c>
      <c r="AC4" s="3">
        <v>0.1511912074469908</v>
      </c>
      <c r="AD4" s="1">
        <v>13248</v>
      </c>
      <c r="AE4" s="1">
        <v>162</v>
      </c>
      <c r="AF4" s="1">
        <v>171</v>
      </c>
      <c r="AG4" s="3">
        <v>97.548045062955595</v>
      </c>
      <c r="AH4" s="3">
        <v>1.1928429423459244</v>
      </c>
      <c r="AI4" s="3">
        <v>1.2591119946984757</v>
      </c>
      <c r="AJ4" s="1">
        <v>139</v>
      </c>
      <c r="AK4" s="1">
        <v>39870</v>
      </c>
      <c r="AL4" s="1">
        <f t="shared" si="0"/>
        <v>0.34863305743666917</v>
      </c>
      <c r="AM4" s="1">
        <v>363</v>
      </c>
      <c r="AN4" s="1">
        <v>81476</v>
      </c>
      <c r="AO4" s="1">
        <v>0.44552997201629929</v>
      </c>
      <c r="AP4" s="1">
        <v>232</v>
      </c>
      <c r="AQ4" s="1">
        <v>39744</v>
      </c>
      <c r="AR4" s="1">
        <v>0.58373590982286638</v>
      </c>
      <c r="AS4" s="1">
        <v>310</v>
      </c>
      <c r="AT4" s="1">
        <v>39576</v>
      </c>
      <c r="AU4" s="1">
        <v>0.78330301192642005</v>
      </c>
    </row>
    <row r="5" spans="1:47" x14ac:dyDescent="0.35">
      <c r="A5" s="7" t="s">
        <v>57</v>
      </c>
      <c r="B5" s="8" t="s">
        <v>27</v>
      </c>
      <c r="C5" s="8" t="s">
        <v>78</v>
      </c>
      <c r="D5" s="8" t="s">
        <v>79</v>
      </c>
      <c r="E5" s="9">
        <v>1.2</v>
      </c>
      <c r="F5" s="1">
        <v>9.6251301930000022</v>
      </c>
      <c r="G5" s="1">
        <v>9.7396891829999976</v>
      </c>
      <c r="H5" s="1">
        <v>9.5165923889999977</v>
      </c>
      <c r="I5" s="1">
        <v>5.85488564</v>
      </c>
      <c r="J5" s="1">
        <v>5.1372099399999991</v>
      </c>
      <c r="K5" s="1">
        <v>6.5350064200000011</v>
      </c>
      <c r="L5" s="1">
        <v>87.913600500000015</v>
      </c>
      <c r="M5" s="1">
        <v>56.5514321</v>
      </c>
      <c r="N5" s="1">
        <v>69.936532013000019</v>
      </c>
      <c r="O5" s="1">
        <v>95.111582338000019</v>
      </c>
      <c r="P5" s="1">
        <v>90.387050480999974</v>
      </c>
      <c r="Q5" s="1">
        <v>73.709628075999987</v>
      </c>
      <c r="R5" s="1">
        <v>184544</v>
      </c>
      <c r="S5" s="1">
        <v>743819</v>
      </c>
      <c r="T5" s="1">
        <v>928363</v>
      </c>
      <c r="U5" s="3">
        <v>19.87843117401275</v>
      </c>
      <c r="V5" s="3">
        <v>80.121568825987239</v>
      </c>
      <c r="W5" s="1">
        <v>91801</v>
      </c>
      <c r="X5" s="1">
        <v>786341</v>
      </c>
      <c r="Y5" s="1">
        <v>386</v>
      </c>
      <c r="Z5" s="1">
        <v>878528</v>
      </c>
      <c r="AA5" s="3">
        <v>10.449410832665549</v>
      </c>
      <c r="AB5" s="3">
        <v>89.506652036133175</v>
      </c>
      <c r="AC5" s="3">
        <v>4.3937131201282141E-2</v>
      </c>
      <c r="AD5" s="1">
        <v>88686</v>
      </c>
      <c r="AE5" s="1">
        <v>2479</v>
      </c>
      <c r="AF5" s="1">
        <v>636</v>
      </c>
      <c r="AG5" s="3">
        <v>96.606790775699608</v>
      </c>
      <c r="AH5" s="3">
        <v>2.700406313656714</v>
      </c>
      <c r="AI5" s="3">
        <v>0.69280291064367483</v>
      </c>
      <c r="AJ5" s="1">
        <v>1218</v>
      </c>
      <c r="AK5" s="1">
        <v>50104</v>
      </c>
      <c r="AL5" s="1">
        <f t="shared" si="0"/>
        <v>2.4309436372345523</v>
      </c>
      <c r="AM5" s="1">
        <v>3740</v>
      </c>
      <c r="AN5" s="1">
        <v>98089</v>
      </c>
      <c r="AO5" s="1">
        <v>3.8128638277482696</v>
      </c>
      <c r="AP5" s="1">
        <v>2333</v>
      </c>
      <c r="AQ5" s="1">
        <v>47384</v>
      </c>
      <c r="AR5" s="1">
        <v>4.9236029039338174</v>
      </c>
      <c r="AS5" s="1">
        <v>2563</v>
      </c>
      <c r="AT5" s="1">
        <v>45762</v>
      </c>
      <c r="AU5" s="1">
        <v>5.6007167518902143</v>
      </c>
    </row>
    <row r="6" spans="1:47" x14ac:dyDescent="0.35">
      <c r="A6" s="4" t="s">
        <v>18</v>
      </c>
      <c r="B6" s="5" t="s">
        <v>24</v>
      </c>
      <c r="C6" s="5" t="s">
        <v>139</v>
      </c>
      <c r="D6" s="5" t="s">
        <v>70</v>
      </c>
      <c r="E6" s="6">
        <v>0.1</v>
      </c>
      <c r="F6" s="1">
        <v>10.431995570000009</v>
      </c>
      <c r="G6" s="1">
        <v>10.505585450000007</v>
      </c>
      <c r="H6" s="1">
        <v>10.360463410000007</v>
      </c>
      <c r="I6" s="1">
        <v>1.6666868100000012</v>
      </c>
      <c r="J6" s="1">
        <v>1.6729345500000006</v>
      </c>
      <c r="K6" s="1">
        <v>1.6606104099999985</v>
      </c>
      <c r="L6" s="1">
        <v>92.031795599999938</v>
      </c>
      <c r="M6" s="1">
        <v>55.559885399999999</v>
      </c>
      <c r="N6" s="1">
        <v>60.179750240999979</v>
      </c>
      <c r="O6" s="1">
        <v>96.11876054699998</v>
      </c>
      <c r="P6" s="1">
        <v>92.613239979999932</v>
      </c>
      <c r="Q6" s="1">
        <v>74.821677462000011</v>
      </c>
      <c r="R6" s="1">
        <v>12506</v>
      </c>
      <c r="S6" s="1">
        <v>3134265</v>
      </c>
      <c r="T6" s="1">
        <v>3146771</v>
      </c>
      <c r="U6" s="3">
        <v>0.39742326340238926</v>
      </c>
      <c r="V6" s="3">
        <v>99.602576736597612</v>
      </c>
      <c r="W6" s="1">
        <v>5527</v>
      </c>
      <c r="X6" s="1">
        <v>2972636</v>
      </c>
      <c r="Y6" s="1">
        <v>2081</v>
      </c>
      <c r="Z6" s="1">
        <v>2980244</v>
      </c>
      <c r="AA6" s="3">
        <v>0.18545461378330097</v>
      </c>
      <c r="AB6" s="3">
        <v>99.744718888788981</v>
      </c>
      <c r="AC6" s="3">
        <v>6.9826497427727396E-2</v>
      </c>
      <c r="AD6" s="1">
        <v>5393</v>
      </c>
      <c r="AE6" s="1">
        <v>40</v>
      </c>
      <c r="AF6" s="1">
        <v>94</v>
      </c>
      <c r="AG6" s="3">
        <v>97.575538266690785</v>
      </c>
      <c r="AH6" s="3">
        <v>0.72371992039080868</v>
      </c>
      <c r="AI6" s="3">
        <v>1.7007418129184007</v>
      </c>
      <c r="AJ6" s="1">
        <v>67</v>
      </c>
      <c r="AK6" s="1">
        <v>177691</v>
      </c>
      <c r="AL6" s="1">
        <f t="shared" si="0"/>
        <v>3.7705905194973292E-2</v>
      </c>
      <c r="AM6" s="1">
        <v>106</v>
      </c>
      <c r="AN6" s="1">
        <v>327112</v>
      </c>
      <c r="AO6" s="1">
        <v>3.2404803247817263E-2</v>
      </c>
      <c r="AP6" s="1">
        <v>55</v>
      </c>
      <c r="AQ6" s="1">
        <v>159109</v>
      </c>
      <c r="AR6" s="1">
        <v>3.4567497753112644E-2</v>
      </c>
      <c r="AS6" s="1">
        <v>97</v>
      </c>
      <c r="AT6" s="1">
        <v>158561</v>
      </c>
      <c r="AU6" s="1">
        <v>6.1175194404677065E-2</v>
      </c>
    </row>
    <row r="7" spans="1:47" x14ac:dyDescent="0.35">
      <c r="A7" s="4" t="s">
        <v>31</v>
      </c>
      <c r="B7" s="5" t="s">
        <v>32</v>
      </c>
      <c r="C7" s="5" t="s">
        <v>80</v>
      </c>
      <c r="D7" s="5" t="s">
        <v>81</v>
      </c>
      <c r="E7" s="6">
        <v>0.1</v>
      </c>
      <c r="F7" s="1">
        <v>10.046729979999999</v>
      </c>
      <c r="G7" s="1">
        <v>9.9935303149999992</v>
      </c>
      <c r="H7" s="1">
        <v>10.09745977</v>
      </c>
      <c r="I7" s="1">
        <v>3.3677769099999999</v>
      </c>
      <c r="J7" s="1">
        <v>3.4141508600000003</v>
      </c>
      <c r="K7" s="1">
        <v>3.3235588500000004</v>
      </c>
      <c r="L7" s="1">
        <v>89.562374699999992</v>
      </c>
      <c r="M7" s="1">
        <v>63.411017300000012</v>
      </c>
      <c r="N7" s="1">
        <v>65.45011459600002</v>
      </c>
      <c r="O7" s="1">
        <v>95.463643343000015</v>
      </c>
      <c r="P7" s="1">
        <v>91.056010626999992</v>
      </c>
      <c r="Q7" s="1">
        <v>77.165484699000004</v>
      </c>
      <c r="R7" s="1">
        <v>10048</v>
      </c>
      <c r="S7" s="1">
        <v>721343</v>
      </c>
      <c r="T7" s="1">
        <v>731391</v>
      </c>
      <c r="U7" s="3">
        <v>1.3738205692987746</v>
      </c>
      <c r="V7" s="3">
        <v>98.626179430701228</v>
      </c>
      <c r="W7" s="1">
        <v>5210</v>
      </c>
      <c r="X7" s="1">
        <v>694277</v>
      </c>
      <c r="Y7" s="1">
        <v>334</v>
      </c>
      <c r="Z7" s="1">
        <v>699821</v>
      </c>
      <c r="AA7" s="3">
        <v>0.74447608745664962</v>
      </c>
      <c r="AB7" s="3">
        <v>99.20779742248375</v>
      </c>
      <c r="AC7" s="3">
        <v>4.7726490059600953E-2</v>
      </c>
      <c r="AD7" s="1">
        <v>4970</v>
      </c>
      <c r="AE7" s="1">
        <v>189</v>
      </c>
      <c r="AF7" s="1">
        <v>51</v>
      </c>
      <c r="AG7" s="3">
        <v>95.393474088291754</v>
      </c>
      <c r="AH7" s="3">
        <v>3.6276391554702498</v>
      </c>
      <c r="AI7" s="3">
        <v>0.97888675623800381</v>
      </c>
      <c r="AJ7" s="1">
        <v>162</v>
      </c>
      <c r="AK7" s="1">
        <v>34469</v>
      </c>
      <c r="AL7" s="1">
        <f t="shared" si="0"/>
        <v>0.46998752502248398</v>
      </c>
      <c r="AM7" s="1">
        <v>355</v>
      </c>
      <c r="AN7" s="1">
        <v>72944</v>
      </c>
      <c r="AO7" s="1">
        <v>0.48667470936608909</v>
      </c>
      <c r="AP7" s="1">
        <v>239</v>
      </c>
      <c r="AQ7" s="1">
        <v>36136</v>
      </c>
      <c r="AR7" s="1">
        <v>0.66139030329864956</v>
      </c>
      <c r="AS7" s="1">
        <v>253</v>
      </c>
      <c r="AT7" s="1">
        <v>36239</v>
      </c>
      <c r="AU7" s="1">
        <v>0.69814288473743757</v>
      </c>
    </row>
    <row r="8" spans="1:47" x14ac:dyDescent="0.35">
      <c r="A8" s="4" t="s">
        <v>20</v>
      </c>
      <c r="B8" s="5" t="s">
        <v>26</v>
      </c>
      <c r="C8" s="5" t="s">
        <v>82</v>
      </c>
      <c r="D8" s="5" t="s">
        <v>83</v>
      </c>
      <c r="E8" s="6">
        <v>19.8</v>
      </c>
      <c r="F8" s="1">
        <v>7.7832182969999861</v>
      </c>
      <c r="G8" s="1">
        <v>8.0911816389999824</v>
      </c>
      <c r="H8" s="1">
        <v>7.498670248000022</v>
      </c>
      <c r="I8" s="1">
        <v>13.687469100000028</v>
      </c>
      <c r="J8" s="1">
        <v>10.567326699999985</v>
      </c>
      <c r="K8" s="1">
        <v>16.571383100000034</v>
      </c>
      <c r="L8" s="1">
        <v>71.918290400000018</v>
      </c>
      <c r="M8" s="1">
        <v>46.229357899999982</v>
      </c>
      <c r="N8" s="1">
        <v>62.445033928999884</v>
      </c>
      <c r="O8" s="1">
        <v>93.08594728400017</v>
      </c>
      <c r="P8" s="1">
        <v>81.668109094000087</v>
      </c>
      <c r="Q8" s="1">
        <v>61.258388743000054</v>
      </c>
      <c r="R8" s="1">
        <v>1849438</v>
      </c>
      <c r="S8" s="1">
        <v>3694390</v>
      </c>
      <c r="T8" s="1">
        <v>5543828</v>
      </c>
      <c r="U8" s="3">
        <v>33.360306272128213</v>
      </c>
      <c r="V8" s="3">
        <v>66.639693727871787</v>
      </c>
      <c r="W8" s="1">
        <v>1459648</v>
      </c>
      <c r="X8" s="1">
        <v>3720235</v>
      </c>
      <c r="Y8" s="1">
        <v>2046</v>
      </c>
      <c r="Z8" s="1">
        <v>5181929</v>
      </c>
      <c r="AA8" s="3">
        <v>28.168043213251281</v>
      </c>
      <c r="AB8" s="3">
        <v>71.792473420612296</v>
      </c>
      <c r="AC8" s="3">
        <v>3.9483366136432975E-2</v>
      </c>
      <c r="AD8" s="1">
        <v>1036366</v>
      </c>
      <c r="AE8" s="1">
        <v>397179</v>
      </c>
      <c r="AF8" s="1">
        <v>26103</v>
      </c>
      <c r="AG8" s="3">
        <v>71.001090673915897</v>
      </c>
      <c r="AH8" s="3">
        <v>27.210601460078049</v>
      </c>
      <c r="AI8" s="3">
        <v>1.7883078660060507</v>
      </c>
      <c r="AJ8" s="1">
        <v>110768</v>
      </c>
      <c r="AK8" s="1">
        <v>363406</v>
      </c>
      <c r="AL8" s="1">
        <f t="shared" si="0"/>
        <v>30.480509402706613</v>
      </c>
      <c r="AM8" s="1">
        <v>235212</v>
      </c>
      <c r="AN8" s="1">
        <v>730599</v>
      </c>
      <c r="AO8" s="1">
        <v>32.194404865049094</v>
      </c>
      <c r="AP8" s="1">
        <v>108815</v>
      </c>
      <c r="AQ8" s="1">
        <v>342016</v>
      </c>
      <c r="AR8" s="1">
        <v>31.815763005239521</v>
      </c>
      <c r="AS8" s="1">
        <v>100817</v>
      </c>
      <c r="AT8" s="1">
        <v>323350</v>
      </c>
      <c r="AU8" s="1">
        <v>31.178908303695685</v>
      </c>
    </row>
    <row r="9" spans="1:47" x14ac:dyDescent="0.35">
      <c r="A9" s="4" t="s">
        <v>19</v>
      </c>
      <c r="B9" s="5" t="s">
        <v>25</v>
      </c>
      <c r="C9" s="5" t="s">
        <v>84</v>
      </c>
      <c r="D9" s="5" t="s">
        <v>71</v>
      </c>
      <c r="E9" s="6">
        <v>1.5</v>
      </c>
      <c r="F9" s="1">
        <v>9.9969420590000073</v>
      </c>
      <c r="G9" s="1">
        <v>9.9772294760000069</v>
      </c>
      <c r="H9" s="1">
        <v>10.015977940000004</v>
      </c>
      <c r="I9" s="1">
        <v>2.6226876499999987</v>
      </c>
      <c r="J9" s="1">
        <v>2.5542394999999969</v>
      </c>
      <c r="K9" s="1">
        <v>2.6887886799999974</v>
      </c>
      <c r="L9" s="1">
        <v>88.695405800000088</v>
      </c>
      <c r="M9" s="1">
        <v>59.464381799999963</v>
      </c>
      <c r="N9" s="1">
        <v>51.901348940999952</v>
      </c>
      <c r="O9" s="1">
        <v>94.584187381999996</v>
      </c>
      <c r="P9" s="1">
        <v>90.129507870000126</v>
      </c>
      <c r="Q9" s="1">
        <v>73.366152018000022</v>
      </c>
      <c r="R9" s="1">
        <v>161905</v>
      </c>
      <c r="S9" s="1">
        <v>3579964</v>
      </c>
      <c r="T9" s="1">
        <v>3741869</v>
      </c>
      <c r="U9" s="3">
        <v>4.3268484278845678</v>
      </c>
      <c r="V9" s="3">
        <v>95.67315157211543</v>
      </c>
      <c r="W9" s="1">
        <v>110498</v>
      </c>
      <c r="X9" s="1">
        <v>3455995</v>
      </c>
      <c r="Y9" s="1">
        <v>3787</v>
      </c>
      <c r="Z9" s="1">
        <v>3570280</v>
      </c>
      <c r="AA9" s="3">
        <v>3.0949393324893286</v>
      </c>
      <c r="AB9" s="3">
        <v>96.798990555362607</v>
      </c>
      <c r="AC9" s="3">
        <v>0.10607011214806683</v>
      </c>
      <c r="AD9" s="1">
        <v>97700</v>
      </c>
      <c r="AE9" s="1">
        <v>11818</v>
      </c>
      <c r="AF9" s="1">
        <v>980</v>
      </c>
      <c r="AG9" s="3">
        <v>88.417889916559574</v>
      </c>
      <c r="AH9" s="3">
        <v>10.695216203008199</v>
      </c>
      <c r="AI9" s="3">
        <v>0.88689388043222506</v>
      </c>
      <c r="AJ9" s="1">
        <v>6709</v>
      </c>
      <c r="AK9" s="1">
        <v>191706</v>
      </c>
      <c r="AL9" s="1">
        <f t="shared" si="0"/>
        <v>3.4996296412214538</v>
      </c>
      <c r="AM9" s="1">
        <v>14493</v>
      </c>
      <c r="AN9" s="1">
        <v>385907</v>
      </c>
      <c r="AO9" s="1">
        <v>3.7555680513698899</v>
      </c>
      <c r="AP9" s="1">
        <v>7240</v>
      </c>
      <c r="AQ9" s="1">
        <v>200760</v>
      </c>
      <c r="AR9" s="1">
        <v>3.6062960749153214</v>
      </c>
      <c r="AS9" s="1">
        <v>6312</v>
      </c>
      <c r="AT9" s="1">
        <v>195214</v>
      </c>
      <c r="AU9" s="1">
        <v>3.2333746555062652</v>
      </c>
    </row>
    <row r="10" spans="1:47" x14ac:dyDescent="0.35">
      <c r="A10" s="4" t="s">
        <v>58</v>
      </c>
      <c r="B10" s="5" t="s">
        <v>23</v>
      </c>
      <c r="C10" s="5" t="s">
        <v>85</v>
      </c>
      <c r="D10" s="5" t="s">
        <v>86</v>
      </c>
      <c r="E10" s="6">
        <v>1.7</v>
      </c>
      <c r="F10" s="1">
        <v>11.482039410000001</v>
      </c>
      <c r="G10" s="1">
        <v>11.665784970000002</v>
      </c>
      <c r="H10" s="1">
        <v>11.318023540000004</v>
      </c>
      <c r="I10" s="1">
        <v>1.4235622300000004</v>
      </c>
      <c r="J10" s="1">
        <v>0.94554875999999977</v>
      </c>
      <c r="K10" s="1">
        <v>1.8507423299999994</v>
      </c>
      <c r="L10" s="1">
        <v>94.23639630000001</v>
      </c>
      <c r="M10" s="1">
        <v>70.1601584</v>
      </c>
      <c r="N10" s="1">
        <v>71.96299647299999</v>
      </c>
      <c r="O10" s="1">
        <v>95.354873355000024</v>
      </c>
      <c r="P10" s="1">
        <v>93.436679585000022</v>
      </c>
      <c r="Q10" s="1">
        <v>80.712327471999984</v>
      </c>
      <c r="R10" s="1">
        <v>302916</v>
      </c>
      <c r="S10" s="1">
        <v>8907028</v>
      </c>
      <c r="T10" s="1">
        <v>9209944</v>
      </c>
      <c r="U10" s="3">
        <v>3.2890102263379668</v>
      </c>
      <c r="V10" s="3">
        <v>96.710989773662035</v>
      </c>
      <c r="W10" s="1">
        <v>125153</v>
      </c>
      <c r="X10" s="1">
        <v>8800395</v>
      </c>
      <c r="Y10" s="1">
        <v>7619</v>
      </c>
      <c r="Z10" s="1">
        <v>8933167</v>
      </c>
      <c r="AA10" s="3">
        <v>1.4009925035544504</v>
      </c>
      <c r="AB10" s="3">
        <v>98.513718594984283</v>
      </c>
      <c r="AC10" s="3">
        <v>8.5288901461262293E-2</v>
      </c>
      <c r="AD10" s="1">
        <v>122971</v>
      </c>
      <c r="AE10" s="1">
        <v>1032</v>
      </c>
      <c r="AF10" s="1">
        <v>1150</v>
      </c>
      <c r="AG10" s="3">
        <v>98.256534002381088</v>
      </c>
      <c r="AH10" s="3">
        <v>0.82459070098199805</v>
      </c>
      <c r="AI10" s="3">
        <v>0.91887529663691647</v>
      </c>
      <c r="AJ10" s="1">
        <v>959</v>
      </c>
      <c r="AK10" s="1">
        <v>324942</v>
      </c>
      <c r="AL10" s="1">
        <f t="shared" si="0"/>
        <v>0.29512959235802078</v>
      </c>
      <c r="AM10" s="1">
        <v>2547</v>
      </c>
      <c r="AN10" s="1">
        <v>692726</v>
      </c>
      <c r="AO10" s="1">
        <v>0.36767784087792288</v>
      </c>
      <c r="AP10" s="1">
        <v>1361</v>
      </c>
      <c r="AQ10" s="1">
        <v>367954</v>
      </c>
      <c r="AR10" s="1">
        <v>0.36988319192072922</v>
      </c>
      <c r="AS10" s="1">
        <v>2153</v>
      </c>
      <c r="AT10" s="1">
        <v>380808</v>
      </c>
      <c r="AU10" s="1">
        <v>0.56537677779878581</v>
      </c>
    </row>
    <row r="11" spans="1:47" x14ac:dyDescent="0.35">
      <c r="A11" s="4" t="s">
        <v>17</v>
      </c>
      <c r="B11" s="5" t="s">
        <v>55</v>
      </c>
      <c r="C11" s="5" t="s">
        <v>87</v>
      </c>
      <c r="D11" s="5" t="s">
        <v>88</v>
      </c>
      <c r="E11" s="6">
        <v>0.6</v>
      </c>
      <c r="F11" s="1">
        <v>9.7460694310000058</v>
      </c>
      <c r="G11" s="1">
        <v>9.6685046769999907</v>
      </c>
      <c r="H11" s="1">
        <v>9.8197119819999994</v>
      </c>
      <c r="I11" s="1">
        <v>2.71965557</v>
      </c>
      <c r="J11" s="1">
        <v>2.7409920700000012</v>
      </c>
      <c r="K11" s="1">
        <v>2.6993420799999979</v>
      </c>
      <c r="L11" s="1">
        <v>90.49209569999995</v>
      </c>
      <c r="M11" s="1">
        <v>55.4991275</v>
      </c>
      <c r="N11" s="1">
        <v>59.13508305500001</v>
      </c>
      <c r="O11" s="1">
        <v>96.301402537999934</v>
      </c>
      <c r="P11" s="1">
        <v>90.943809049999928</v>
      </c>
      <c r="Q11" s="1">
        <v>70.345990532000044</v>
      </c>
      <c r="R11" s="1">
        <v>60285</v>
      </c>
      <c r="S11" s="1">
        <v>1772365</v>
      </c>
      <c r="T11" s="1">
        <v>1832650</v>
      </c>
      <c r="U11" s="3">
        <v>3.2894988131940082</v>
      </c>
      <c r="V11" s="3">
        <v>96.710501186805985</v>
      </c>
      <c r="W11" s="1">
        <v>47242</v>
      </c>
      <c r="X11" s="1">
        <v>1685395</v>
      </c>
      <c r="Y11" s="1">
        <v>1045</v>
      </c>
      <c r="Z11" s="1">
        <v>1733682</v>
      </c>
      <c r="AA11" s="3">
        <v>2.72495186545168</v>
      </c>
      <c r="AB11" s="3">
        <v>97.214771797826828</v>
      </c>
      <c r="AC11" s="3">
        <v>6.0276336721497945E-2</v>
      </c>
      <c r="AD11" s="1">
        <v>37905</v>
      </c>
      <c r="AE11" s="1">
        <v>8515</v>
      </c>
      <c r="AF11" s="1">
        <v>822</v>
      </c>
      <c r="AG11" s="3">
        <v>80.235807120782354</v>
      </c>
      <c r="AH11" s="3">
        <v>18.024215740231149</v>
      </c>
      <c r="AI11" s="3">
        <v>1.7399771389864951</v>
      </c>
      <c r="AJ11" s="1">
        <v>4424</v>
      </c>
      <c r="AK11" s="1">
        <v>107941</v>
      </c>
      <c r="AL11" s="1">
        <f t="shared" si="0"/>
        <v>4.0985353109569118</v>
      </c>
      <c r="AM11" s="1">
        <v>8614</v>
      </c>
      <c r="AN11" s="1">
        <v>209620</v>
      </c>
      <c r="AO11" s="1">
        <v>4.1093407117641441</v>
      </c>
      <c r="AP11" s="1">
        <v>4146</v>
      </c>
      <c r="AQ11" s="1">
        <v>100550</v>
      </c>
      <c r="AR11" s="1">
        <v>4.1233217304823464</v>
      </c>
      <c r="AS11" s="1">
        <v>3593</v>
      </c>
      <c r="AT11" s="1">
        <v>98442</v>
      </c>
      <c r="AU11" s="1">
        <v>3.6498648950651145</v>
      </c>
    </row>
    <row r="12" spans="1:47" x14ac:dyDescent="0.35">
      <c r="A12" s="4" t="s">
        <v>16</v>
      </c>
      <c r="B12" s="5" t="s">
        <v>54</v>
      </c>
      <c r="C12" s="5" t="s">
        <v>89</v>
      </c>
      <c r="D12" s="5" t="s">
        <v>90</v>
      </c>
      <c r="E12" s="6">
        <v>0.2</v>
      </c>
      <c r="F12" s="1">
        <v>9.0437866980000052</v>
      </c>
      <c r="G12" s="1">
        <v>9.0972375389999947</v>
      </c>
      <c r="H12" s="1">
        <v>8.994813093999996</v>
      </c>
      <c r="I12" s="1">
        <v>5.2849701300000032</v>
      </c>
      <c r="J12" s="1">
        <v>4.520637050000003</v>
      </c>
      <c r="K12" s="1">
        <v>5.9857609100000042</v>
      </c>
      <c r="L12" s="1">
        <v>87.140830199999996</v>
      </c>
      <c r="M12" s="1">
        <v>49.782921199999976</v>
      </c>
      <c r="N12" s="1">
        <v>61.853404226999984</v>
      </c>
      <c r="O12" s="1">
        <v>95.234752151000052</v>
      </c>
      <c r="P12" s="1">
        <v>88.260833722999934</v>
      </c>
      <c r="Q12" s="1">
        <v>64.526980993000038</v>
      </c>
      <c r="R12" s="1">
        <v>28612</v>
      </c>
      <c r="S12" s="1">
        <v>6138322</v>
      </c>
      <c r="T12" s="1">
        <v>6166934</v>
      </c>
      <c r="U12" s="3">
        <v>0.46395826516061306</v>
      </c>
      <c r="V12" s="3">
        <v>99.536041734839387</v>
      </c>
      <c r="W12" s="1">
        <v>14048</v>
      </c>
      <c r="X12" s="1">
        <v>5820802</v>
      </c>
      <c r="Y12" s="1">
        <v>6107</v>
      </c>
      <c r="Z12" s="1">
        <v>5840957</v>
      </c>
      <c r="AA12" s="3">
        <v>0.24050853310510589</v>
      </c>
      <c r="AB12" s="3">
        <v>99.654936682464879</v>
      </c>
      <c r="AC12" s="3">
        <v>0.1045547844300172</v>
      </c>
      <c r="AD12" s="1">
        <v>12988</v>
      </c>
      <c r="AE12" s="1">
        <v>231</v>
      </c>
      <c r="AF12" s="1">
        <v>829</v>
      </c>
      <c r="AG12" s="3">
        <v>92.454441913439638</v>
      </c>
      <c r="AH12" s="3">
        <v>1.644362186788155</v>
      </c>
      <c r="AI12" s="3">
        <v>5.9011958997722092</v>
      </c>
      <c r="AJ12" s="1">
        <v>349</v>
      </c>
      <c r="AK12" s="1">
        <v>337595</v>
      </c>
      <c r="AL12" s="1">
        <f t="shared" si="0"/>
        <v>0.10337830832802619</v>
      </c>
      <c r="AM12" s="1">
        <v>1238</v>
      </c>
      <c r="AN12" s="1">
        <v>656650</v>
      </c>
      <c r="AO12" s="1">
        <v>0.1885327038757329</v>
      </c>
      <c r="AP12" s="1">
        <v>684</v>
      </c>
      <c r="AQ12" s="1">
        <v>327519</v>
      </c>
      <c r="AR12" s="1">
        <v>0.20884284575856665</v>
      </c>
      <c r="AS12" s="1">
        <v>732</v>
      </c>
      <c r="AT12" s="1">
        <v>330251</v>
      </c>
      <c r="AU12" s="1">
        <v>0.22164959379381136</v>
      </c>
    </row>
    <row r="13" spans="1:47" x14ac:dyDescent="0.35">
      <c r="A13" s="4" t="s">
        <v>15</v>
      </c>
      <c r="B13" s="5" t="s">
        <v>53</v>
      </c>
      <c r="C13" s="5" t="s">
        <v>91</v>
      </c>
      <c r="D13" s="5" t="s">
        <v>72</v>
      </c>
      <c r="E13" s="6">
        <v>7</v>
      </c>
      <c r="F13" s="1">
        <v>8.3726986170000011</v>
      </c>
      <c r="G13" s="1">
        <v>8.5318837280000146</v>
      </c>
      <c r="H13" s="1">
        <v>8.2315813899999846</v>
      </c>
      <c r="I13" s="1">
        <v>12.456393400000017</v>
      </c>
      <c r="J13" s="1">
        <v>10.364845299999988</v>
      </c>
      <c r="K13" s="1">
        <v>14.31048620000001</v>
      </c>
      <c r="L13" s="1">
        <v>79.818205700000092</v>
      </c>
      <c r="M13" s="1">
        <v>50.322555499999936</v>
      </c>
      <c r="N13" s="1">
        <v>75.24773908000013</v>
      </c>
      <c r="O13" s="1">
        <v>95.963661345000162</v>
      </c>
      <c r="P13" s="1">
        <v>89.070311182000097</v>
      </c>
      <c r="Q13" s="1">
        <v>70.687394642999919</v>
      </c>
      <c r="R13" s="1">
        <v>702830</v>
      </c>
      <c r="S13" s="1">
        <v>2837855</v>
      </c>
      <c r="T13" s="1">
        <v>3540685</v>
      </c>
      <c r="U13" s="3">
        <v>19.850113749175655</v>
      </c>
      <c r="V13" s="3">
        <v>80.149886250824338</v>
      </c>
      <c r="W13" s="1">
        <v>515487</v>
      </c>
      <c r="X13" s="1">
        <v>2811880</v>
      </c>
      <c r="Y13" s="1">
        <v>1395</v>
      </c>
      <c r="Z13" s="1">
        <v>3328762</v>
      </c>
      <c r="AA13" s="3">
        <v>15.485847290974844</v>
      </c>
      <c r="AB13" s="3">
        <v>84.472245237118187</v>
      </c>
      <c r="AC13" s="3">
        <v>4.190747190697322E-2</v>
      </c>
      <c r="AD13" s="1">
        <v>395724</v>
      </c>
      <c r="AE13" s="1">
        <v>111372</v>
      </c>
      <c r="AF13" s="1">
        <v>8391</v>
      </c>
      <c r="AG13" s="3">
        <v>76.767018372917263</v>
      </c>
      <c r="AH13" s="3">
        <v>21.605200519120753</v>
      </c>
      <c r="AI13" s="3">
        <v>1.6277811079619855</v>
      </c>
      <c r="AJ13" s="1">
        <v>30105</v>
      </c>
      <c r="AK13" s="1">
        <v>207880</v>
      </c>
      <c r="AL13" s="1">
        <f t="shared" si="0"/>
        <v>14.481912641908792</v>
      </c>
      <c r="AM13" s="1">
        <v>70606</v>
      </c>
      <c r="AN13" s="1">
        <v>422140</v>
      </c>
      <c r="AO13" s="1">
        <v>16.72573080020846</v>
      </c>
      <c r="AP13" s="1">
        <v>38060</v>
      </c>
      <c r="AQ13" s="1">
        <v>207435</v>
      </c>
      <c r="AR13" s="1">
        <v>18.347916214717863</v>
      </c>
      <c r="AS13" s="1">
        <v>36406</v>
      </c>
      <c r="AT13" s="1">
        <v>202882</v>
      </c>
      <c r="AU13" s="1">
        <v>17.944420894904429</v>
      </c>
    </row>
    <row r="14" spans="1:47" x14ac:dyDescent="0.35">
      <c r="A14" s="7" t="s">
        <v>14</v>
      </c>
      <c r="B14" s="8" t="s">
        <v>52</v>
      </c>
      <c r="C14" s="8" t="s">
        <v>92</v>
      </c>
      <c r="D14" s="8" t="s">
        <v>73</v>
      </c>
      <c r="E14" s="9">
        <v>4.9000000000000004</v>
      </c>
      <c r="F14" s="1">
        <v>9.3707589050000006</v>
      </c>
      <c r="G14" s="1">
        <v>9.4189316670000078</v>
      </c>
      <c r="H14" s="1">
        <v>9.3276992150000151</v>
      </c>
      <c r="I14" s="1">
        <v>6.6126158499999992</v>
      </c>
      <c r="J14" s="1">
        <v>5.352059989999991</v>
      </c>
      <c r="K14" s="1">
        <v>7.739317479999996</v>
      </c>
      <c r="L14" s="1">
        <v>91.832047900000134</v>
      </c>
      <c r="M14" s="1">
        <v>62.025635300000076</v>
      </c>
      <c r="N14" s="1">
        <v>63.871528443000003</v>
      </c>
      <c r="O14" s="1">
        <v>97.266151734000161</v>
      </c>
      <c r="P14" s="1">
        <v>94.165104622999948</v>
      </c>
      <c r="Q14" s="1">
        <v>77.554834972999956</v>
      </c>
      <c r="R14" s="1">
        <v>589828</v>
      </c>
      <c r="S14" s="1">
        <v>2493013</v>
      </c>
      <c r="T14" s="1">
        <v>3082841</v>
      </c>
      <c r="U14" s="3">
        <v>19.13261176946849</v>
      </c>
      <c r="V14" s="3">
        <v>80.867388230531517</v>
      </c>
      <c r="W14" s="1">
        <v>362629</v>
      </c>
      <c r="X14" s="1">
        <v>2580967</v>
      </c>
      <c r="Y14" s="1">
        <v>1301</v>
      </c>
      <c r="Z14" s="1">
        <v>2944897</v>
      </c>
      <c r="AA14" s="3">
        <v>12.313809277540097</v>
      </c>
      <c r="AB14" s="3">
        <v>87.642012606892521</v>
      </c>
      <c r="AC14" s="3">
        <v>4.4178115567369586E-2</v>
      </c>
      <c r="AD14" s="1">
        <v>331650</v>
      </c>
      <c r="AE14" s="1">
        <v>28497</v>
      </c>
      <c r="AF14" s="1">
        <v>2482</v>
      </c>
      <c r="AG14" s="3">
        <v>91.457109056363393</v>
      </c>
      <c r="AH14" s="3">
        <v>7.8584448568647298</v>
      </c>
      <c r="AI14" s="3">
        <v>0.68444608677187979</v>
      </c>
      <c r="AJ14" s="1">
        <v>9013</v>
      </c>
      <c r="AK14" s="1">
        <v>156486</v>
      </c>
      <c r="AL14" s="1">
        <f t="shared" si="0"/>
        <v>5.7596206689416309</v>
      </c>
      <c r="AM14" s="1">
        <v>27915</v>
      </c>
      <c r="AN14" s="1">
        <v>330011</v>
      </c>
      <c r="AO14" s="1">
        <v>8.4588089487926155</v>
      </c>
      <c r="AP14" s="1">
        <v>17102</v>
      </c>
      <c r="AQ14" s="1">
        <v>170183</v>
      </c>
      <c r="AR14" s="1">
        <v>10.049182350763591</v>
      </c>
      <c r="AS14" s="1">
        <v>16522</v>
      </c>
      <c r="AT14" s="1">
        <v>167457</v>
      </c>
      <c r="AU14" s="1">
        <v>9.8664134673378836</v>
      </c>
    </row>
    <row r="15" spans="1:47" x14ac:dyDescent="0.35">
      <c r="A15" s="4" t="s">
        <v>13</v>
      </c>
      <c r="B15" s="5" t="s">
        <v>51</v>
      </c>
      <c r="C15" s="5" t="s">
        <v>93</v>
      </c>
      <c r="D15" s="5" t="s">
        <v>94</v>
      </c>
      <c r="E15" s="6">
        <v>0.9</v>
      </c>
      <c r="F15" s="1">
        <v>9.8973534169999819</v>
      </c>
      <c r="G15" s="1">
        <v>9.9464802479999666</v>
      </c>
      <c r="H15" s="1">
        <v>9.8510325600000161</v>
      </c>
      <c r="I15" s="1">
        <v>2.8905343399999928</v>
      </c>
      <c r="J15" s="1">
        <v>2.7698535400000015</v>
      </c>
      <c r="K15" s="1">
        <v>3.0043498800000052</v>
      </c>
      <c r="L15" s="1">
        <v>87.315559299999862</v>
      </c>
      <c r="M15" s="1">
        <v>58.600940700000088</v>
      </c>
      <c r="N15" s="1">
        <v>60.252774196000054</v>
      </c>
      <c r="O15" s="1">
        <v>94.83458826599977</v>
      </c>
      <c r="P15" s="1">
        <v>89.154051064000129</v>
      </c>
      <c r="Q15" s="1">
        <v>69.504583804999967</v>
      </c>
      <c r="R15" s="1">
        <v>113728</v>
      </c>
      <c r="S15" s="1">
        <v>8234423</v>
      </c>
      <c r="T15" s="1">
        <v>8348151</v>
      </c>
      <c r="U15" s="3">
        <v>1.3623136428653484</v>
      </c>
      <c r="V15" s="3">
        <v>98.637686357134641</v>
      </c>
      <c r="W15" s="1">
        <v>66963</v>
      </c>
      <c r="X15" s="1">
        <v>7837241</v>
      </c>
      <c r="Y15" s="1">
        <v>8751</v>
      </c>
      <c r="Z15" s="1">
        <v>7912955</v>
      </c>
      <c r="AA15" s="3">
        <v>0.84624517642271446</v>
      </c>
      <c r="AB15" s="3">
        <v>99.04316402658678</v>
      </c>
      <c r="AC15" s="3">
        <v>0.11059079699050481</v>
      </c>
      <c r="AD15" s="1">
        <v>59300</v>
      </c>
      <c r="AE15" s="1">
        <v>6673</v>
      </c>
      <c r="AF15" s="1">
        <v>990</v>
      </c>
      <c r="AG15" s="3">
        <v>88.556366948912085</v>
      </c>
      <c r="AH15" s="3">
        <v>9.9652046652629078</v>
      </c>
      <c r="AI15" s="3">
        <v>1.478428385825008</v>
      </c>
      <c r="AJ15" s="1">
        <v>2981</v>
      </c>
      <c r="AK15" s="1">
        <v>431927</v>
      </c>
      <c r="AL15" s="1">
        <f t="shared" si="0"/>
        <v>0.69016292104915877</v>
      </c>
      <c r="AM15" s="1">
        <v>7094</v>
      </c>
      <c r="AN15" s="1">
        <v>860338</v>
      </c>
      <c r="AO15" s="1">
        <v>0.82455964981205054</v>
      </c>
      <c r="AP15" s="1">
        <v>3524</v>
      </c>
      <c r="AQ15" s="1">
        <v>427579</v>
      </c>
      <c r="AR15" s="1">
        <v>0.82417518166233616</v>
      </c>
      <c r="AS15" s="1">
        <v>3536</v>
      </c>
      <c r="AT15" s="1">
        <v>427156</v>
      </c>
      <c r="AU15" s="1">
        <v>0.82780061616833189</v>
      </c>
    </row>
    <row r="16" spans="1:47" x14ac:dyDescent="0.35">
      <c r="A16" s="4" t="s">
        <v>59</v>
      </c>
      <c r="B16" s="5" t="s">
        <v>50</v>
      </c>
      <c r="C16" s="5" t="s">
        <v>95</v>
      </c>
      <c r="D16" s="5" t="s">
        <v>96</v>
      </c>
      <c r="E16" s="6">
        <v>5.7</v>
      </c>
      <c r="F16" s="1">
        <v>10.082398050000007</v>
      </c>
      <c r="G16" s="1">
        <v>10.246670040000021</v>
      </c>
      <c r="H16" s="1">
        <v>9.931299822000021</v>
      </c>
      <c r="I16" s="1">
        <v>2.8957425699999977</v>
      </c>
      <c r="J16" s="1">
        <v>2.0131789799999975</v>
      </c>
      <c r="K16" s="1">
        <v>3.7075596700000082</v>
      </c>
      <c r="L16" s="1">
        <v>91.481805199999783</v>
      </c>
      <c r="M16" s="1">
        <v>63.822369100000103</v>
      </c>
      <c r="N16" s="1">
        <v>60.646456851999815</v>
      </c>
      <c r="O16" s="1">
        <v>95.301675978000162</v>
      </c>
      <c r="P16" s="1">
        <v>92.129193856000114</v>
      </c>
      <c r="Q16" s="1">
        <v>77.271098025999905</v>
      </c>
      <c r="R16" s="1">
        <v>1042401</v>
      </c>
      <c r="S16" s="1">
        <v>15950017</v>
      </c>
      <c r="T16" s="1">
        <v>16992418</v>
      </c>
      <c r="U16" s="3">
        <v>6.1345065781691579</v>
      </c>
      <c r="V16" s="3">
        <v>93.865493421830848</v>
      </c>
      <c r="W16" s="1">
        <v>417603</v>
      </c>
      <c r="X16" s="1">
        <v>15818076</v>
      </c>
      <c r="Y16" s="1">
        <v>24379</v>
      </c>
      <c r="Z16" s="1">
        <v>16260058</v>
      </c>
      <c r="AA16" s="3">
        <v>2.568274971712893</v>
      </c>
      <c r="AB16" s="3">
        <v>97.281793213775742</v>
      </c>
      <c r="AC16" s="3">
        <v>0.14993181451136275</v>
      </c>
      <c r="AD16" s="1">
        <v>405775</v>
      </c>
      <c r="AE16" s="1">
        <v>5422</v>
      </c>
      <c r="AF16" s="1">
        <v>6406</v>
      </c>
      <c r="AG16" s="3">
        <v>97.167644868451617</v>
      </c>
      <c r="AH16" s="3">
        <v>1.2983623201940599</v>
      </c>
      <c r="AI16" s="3">
        <v>1.5339928113543244</v>
      </c>
      <c r="AJ16" s="1">
        <v>3566</v>
      </c>
      <c r="AK16" s="1">
        <v>834611</v>
      </c>
      <c r="AL16" s="1">
        <f t="shared" si="0"/>
        <v>0.42726491742859851</v>
      </c>
      <c r="AM16" s="1">
        <v>12599</v>
      </c>
      <c r="AN16" s="1">
        <v>1682600</v>
      </c>
      <c r="AO16" s="1">
        <v>0.74878164745037445</v>
      </c>
      <c r="AP16" s="1">
        <v>8064</v>
      </c>
      <c r="AQ16" s="1">
        <v>880723</v>
      </c>
      <c r="AR16" s="1">
        <v>0.91561137837890016</v>
      </c>
      <c r="AS16" s="1">
        <v>8989</v>
      </c>
      <c r="AT16" s="1">
        <v>887192</v>
      </c>
      <c r="AU16" s="1">
        <v>1.0131966924859557</v>
      </c>
    </row>
    <row r="17" spans="1:47" x14ac:dyDescent="0.35">
      <c r="A17" s="4" t="s">
        <v>12</v>
      </c>
      <c r="B17" s="5" t="s">
        <v>49</v>
      </c>
      <c r="C17" s="5" t="s">
        <v>140</v>
      </c>
      <c r="D17" s="5" t="s">
        <v>74</v>
      </c>
      <c r="E17" s="6">
        <v>2.1</v>
      </c>
      <c r="F17" s="1">
        <v>8.5954901579999863</v>
      </c>
      <c r="G17" s="1">
        <v>8.5784338239999727</v>
      </c>
      <c r="H17" s="1">
        <v>8.6111222920000028</v>
      </c>
      <c r="I17" s="1">
        <v>7.030448579999991</v>
      </c>
      <c r="J17" s="1">
        <v>6.6280203999999978</v>
      </c>
      <c r="K17" s="1">
        <v>7.3992958699999809</v>
      </c>
      <c r="L17" s="1">
        <v>78.602109000000112</v>
      </c>
      <c r="M17" s="1">
        <v>48.043572399999924</v>
      </c>
      <c r="N17" s="1">
        <v>64.112372444999906</v>
      </c>
      <c r="O17" s="1">
        <v>94.869411654999737</v>
      </c>
      <c r="P17" s="1">
        <v>85.834481011999884</v>
      </c>
      <c r="Q17" s="1">
        <v>63.741015958000141</v>
      </c>
      <c r="R17" s="1">
        <v>234858</v>
      </c>
      <c r="S17" s="1">
        <v>4513988</v>
      </c>
      <c r="T17" s="1">
        <v>4748846</v>
      </c>
      <c r="U17" s="3">
        <v>4.9455804631272526</v>
      </c>
      <c r="V17" s="3">
        <v>95.054419536872743</v>
      </c>
      <c r="W17" s="1">
        <v>154943</v>
      </c>
      <c r="X17" s="1">
        <v>4332912</v>
      </c>
      <c r="Y17" s="1">
        <v>5661</v>
      </c>
      <c r="Z17" s="1">
        <v>4493516</v>
      </c>
      <c r="AA17" s="3">
        <v>3.4481461732861303</v>
      </c>
      <c r="AB17" s="3">
        <v>96.425872301333754</v>
      </c>
      <c r="AC17" s="3">
        <v>0.1259815253801255</v>
      </c>
      <c r="AD17" s="1">
        <v>144719</v>
      </c>
      <c r="AE17" s="1">
        <v>8878</v>
      </c>
      <c r="AF17" s="1">
        <v>1346</v>
      </c>
      <c r="AG17" s="3">
        <v>93.401444402134985</v>
      </c>
      <c r="AH17" s="3">
        <v>5.7298490412603345</v>
      </c>
      <c r="AI17" s="3">
        <v>0.86870655660468676</v>
      </c>
      <c r="AJ17" s="1">
        <v>7164</v>
      </c>
      <c r="AK17" s="1">
        <v>266649</v>
      </c>
      <c r="AL17" s="1">
        <f t="shared" si="0"/>
        <v>2.6866779924169979</v>
      </c>
      <c r="AM17" s="1">
        <v>15928</v>
      </c>
      <c r="AN17" s="1">
        <v>527191</v>
      </c>
      <c r="AO17" s="1">
        <v>3.0212958870693924</v>
      </c>
      <c r="AP17" s="1">
        <v>7719</v>
      </c>
      <c r="AQ17" s="1">
        <v>252684</v>
      </c>
      <c r="AR17" s="1">
        <v>3.0548036282471389</v>
      </c>
      <c r="AS17" s="1">
        <v>7394</v>
      </c>
      <c r="AT17" s="1">
        <v>246270</v>
      </c>
      <c r="AU17" s="1">
        <v>3.00239574450806</v>
      </c>
    </row>
    <row r="18" spans="1:47" x14ac:dyDescent="0.35">
      <c r="A18" s="4" t="s">
        <v>11</v>
      </c>
      <c r="B18" s="5" t="s">
        <v>48</v>
      </c>
      <c r="C18" s="5" t="s">
        <v>97</v>
      </c>
      <c r="D18" s="5" t="s">
        <v>75</v>
      </c>
      <c r="E18" s="6">
        <v>0.5</v>
      </c>
      <c r="F18" s="1">
        <v>9.8447815569999957</v>
      </c>
      <c r="G18" s="1">
        <v>9.8818915919999935</v>
      </c>
      <c r="H18" s="1">
        <v>9.8112514680000036</v>
      </c>
      <c r="I18" s="1">
        <v>4.4382202399999962</v>
      </c>
      <c r="J18" s="1">
        <v>3.7907616300000018</v>
      </c>
      <c r="K18" s="1">
        <v>5.0227974999999985</v>
      </c>
      <c r="L18" s="1">
        <v>89.321969099999976</v>
      </c>
      <c r="M18" s="1">
        <v>58.816745399999959</v>
      </c>
      <c r="N18" s="1">
        <v>61.975867428999955</v>
      </c>
      <c r="O18" s="1">
        <v>95.69331226099996</v>
      </c>
      <c r="P18" s="1">
        <v>90.823543696999991</v>
      </c>
      <c r="Q18" s="1">
        <v>72.327131906999981</v>
      </c>
      <c r="R18" s="1">
        <v>85277</v>
      </c>
      <c r="S18" s="1">
        <v>1886243</v>
      </c>
      <c r="T18" s="1">
        <v>1971520</v>
      </c>
      <c r="U18" s="3">
        <v>4.325444327219607</v>
      </c>
      <c r="V18" s="3">
        <v>95.674555672780386</v>
      </c>
      <c r="W18" s="1">
        <v>38110</v>
      </c>
      <c r="X18" s="1">
        <v>1848291</v>
      </c>
      <c r="Y18" s="1">
        <v>1362</v>
      </c>
      <c r="Z18" s="1">
        <v>1887763</v>
      </c>
      <c r="AA18" s="3">
        <v>2.0187915538126342</v>
      </c>
      <c r="AB18" s="3">
        <v>97.909059558853514</v>
      </c>
      <c r="AC18" s="3">
        <v>7.2148887333844336E-2</v>
      </c>
      <c r="AD18" s="1">
        <v>36939</v>
      </c>
      <c r="AE18" s="1">
        <v>912</v>
      </c>
      <c r="AF18" s="1">
        <v>259</v>
      </c>
      <c r="AG18" s="3">
        <v>96.927315665179748</v>
      </c>
      <c r="AH18" s="3">
        <v>2.3930726843348205</v>
      </c>
      <c r="AI18" s="3">
        <v>0.67961165048543692</v>
      </c>
      <c r="AJ18" s="1">
        <v>851</v>
      </c>
      <c r="AK18" s="1">
        <v>94561</v>
      </c>
      <c r="AL18" s="1">
        <f t="shared" si="0"/>
        <v>0.89994818159706436</v>
      </c>
      <c r="AM18" s="1">
        <v>2015</v>
      </c>
      <c r="AN18" s="1">
        <v>192352</v>
      </c>
      <c r="AO18" s="1">
        <v>1.0475586424887706</v>
      </c>
      <c r="AP18" s="1">
        <v>1165</v>
      </c>
      <c r="AQ18" s="1">
        <v>98829</v>
      </c>
      <c r="AR18" s="1">
        <v>1.1788037924091106</v>
      </c>
      <c r="AS18" s="1">
        <v>1274</v>
      </c>
      <c r="AT18" s="1">
        <v>100192</v>
      </c>
      <c r="AU18" s="1">
        <v>1.2715586074736507</v>
      </c>
    </row>
    <row r="19" spans="1:47" x14ac:dyDescent="0.35">
      <c r="A19" s="4" t="s">
        <v>10</v>
      </c>
      <c r="B19" s="5" t="s">
        <v>47</v>
      </c>
      <c r="C19" s="5" t="s">
        <v>98</v>
      </c>
      <c r="D19" s="5" t="s">
        <v>116</v>
      </c>
      <c r="E19" s="6">
        <v>0.9</v>
      </c>
      <c r="F19" s="1">
        <v>9.7295237360000026</v>
      </c>
      <c r="G19" s="1">
        <v>9.559765043999997</v>
      </c>
      <c r="H19" s="1">
        <v>9.8931570770000032</v>
      </c>
      <c r="I19" s="1">
        <v>4.4790294599999978</v>
      </c>
      <c r="J19" s="1">
        <v>4.42805011</v>
      </c>
      <c r="K19" s="1">
        <v>4.5281632600000004</v>
      </c>
      <c r="L19" s="1">
        <v>89.582564099999956</v>
      </c>
      <c r="M19" s="1">
        <v>61.359999999999992</v>
      </c>
      <c r="N19" s="1">
        <v>64.046669176000009</v>
      </c>
      <c r="O19" s="1">
        <v>96.073914750000029</v>
      </c>
      <c r="P19" s="1">
        <v>91.604494248000023</v>
      </c>
      <c r="Q19" s="1">
        <v>74.556064109000019</v>
      </c>
      <c r="R19" s="1">
        <v>93929</v>
      </c>
      <c r="S19" s="1">
        <v>1141527</v>
      </c>
      <c r="T19" s="1">
        <v>1235456</v>
      </c>
      <c r="U19" s="3">
        <v>7.6027798642768332</v>
      </c>
      <c r="V19" s="3">
        <v>92.397220135723174</v>
      </c>
      <c r="W19" s="1">
        <v>69069</v>
      </c>
      <c r="X19" s="1">
        <v>1105152</v>
      </c>
      <c r="Y19" s="1">
        <v>518</v>
      </c>
      <c r="Z19" s="1">
        <v>1174739</v>
      </c>
      <c r="AA19" s="3">
        <v>5.8795187697011846</v>
      </c>
      <c r="AB19" s="3">
        <v>94.076386329218664</v>
      </c>
      <c r="AC19" s="3">
        <v>4.4094901080154826E-2</v>
      </c>
      <c r="AD19" s="1">
        <v>57037</v>
      </c>
      <c r="AE19" s="1">
        <v>11473</v>
      </c>
      <c r="AF19" s="1">
        <v>559</v>
      </c>
      <c r="AG19" s="3">
        <v>82.579739101478239</v>
      </c>
      <c r="AH19" s="3">
        <v>16.610925306577482</v>
      </c>
      <c r="AI19" s="3">
        <v>0.80933559194428761</v>
      </c>
      <c r="AJ19" s="1">
        <v>4764</v>
      </c>
      <c r="AK19" s="1">
        <v>66425</v>
      </c>
      <c r="AL19" s="1">
        <f t="shared" si="0"/>
        <v>7.1719984945427164</v>
      </c>
      <c r="AM19" s="1">
        <v>11468</v>
      </c>
      <c r="AN19" s="1">
        <v>137618</v>
      </c>
      <c r="AO19" s="1">
        <v>8.3332122251449654</v>
      </c>
      <c r="AP19" s="1">
        <v>5373</v>
      </c>
      <c r="AQ19" s="1">
        <v>67286</v>
      </c>
      <c r="AR19" s="1">
        <v>7.9853164105460266</v>
      </c>
      <c r="AS19" s="1">
        <v>5030</v>
      </c>
      <c r="AT19" s="1">
        <v>63579</v>
      </c>
      <c r="AU19" s="1">
        <v>7.9114172918731036</v>
      </c>
    </row>
    <row r="20" spans="1:47" x14ac:dyDescent="0.35">
      <c r="A20" s="4" t="s">
        <v>9</v>
      </c>
      <c r="B20" s="5" t="s">
        <v>46</v>
      </c>
      <c r="C20" s="5" t="s">
        <v>99</v>
      </c>
      <c r="D20" s="5" t="s">
        <v>76</v>
      </c>
      <c r="E20" s="6">
        <v>1.1000000000000001</v>
      </c>
      <c r="F20" s="1">
        <v>10.740959449999997</v>
      </c>
      <c r="G20" s="1">
        <v>10.882857189999992</v>
      </c>
      <c r="H20" s="1">
        <v>10.600623729999999</v>
      </c>
      <c r="I20" s="1">
        <v>1.459110910000001</v>
      </c>
      <c r="J20" s="1">
        <v>1.3318135500000001</v>
      </c>
      <c r="K20" s="1">
        <v>1.5850890099999999</v>
      </c>
      <c r="L20" s="1">
        <v>92.987062999999978</v>
      </c>
      <c r="M20" s="1">
        <v>53.668726899999953</v>
      </c>
      <c r="N20" s="1">
        <v>62.395341484999932</v>
      </c>
      <c r="O20" s="1">
        <v>95.800929758999999</v>
      </c>
      <c r="P20" s="1">
        <v>93.219518586000035</v>
      </c>
      <c r="Q20" s="1">
        <v>72.562627751000022</v>
      </c>
      <c r="R20" s="1">
        <v>165693</v>
      </c>
      <c r="S20" s="1">
        <v>5618749</v>
      </c>
      <c r="T20" s="1">
        <v>5784442</v>
      </c>
      <c r="U20" s="3">
        <v>2.8644595278161664</v>
      </c>
      <c r="V20" s="3">
        <v>97.135540472183834</v>
      </c>
      <c r="W20" s="1">
        <v>77945</v>
      </c>
      <c r="X20" s="1">
        <v>5417169</v>
      </c>
      <c r="Y20" s="1">
        <v>13030</v>
      </c>
      <c r="Z20" s="1">
        <v>5508144</v>
      </c>
      <c r="AA20" s="3">
        <v>1.4150864610656513</v>
      </c>
      <c r="AB20" s="3">
        <v>98.348354727109538</v>
      </c>
      <c r="AC20" s="3">
        <v>0.23655881182481794</v>
      </c>
      <c r="AD20" s="1">
        <v>76296</v>
      </c>
      <c r="AE20" s="1">
        <v>325</v>
      </c>
      <c r="AF20" s="1">
        <v>1324</v>
      </c>
      <c r="AG20" s="3">
        <v>97.884405670665203</v>
      </c>
      <c r="AH20" s="3">
        <v>0.41696067740073123</v>
      </c>
      <c r="AI20" s="3">
        <v>1.6986336519340561</v>
      </c>
      <c r="AJ20" s="1">
        <v>524</v>
      </c>
      <c r="AK20" s="1">
        <v>294171</v>
      </c>
      <c r="AL20" s="1">
        <f t="shared" si="0"/>
        <v>0.17812768763746256</v>
      </c>
      <c r="AM20" s="1">
        <v>1405</v>
      </c>
      <c r="AN20" s="1">
        <v>554337</v>
      </c>
      <c r="AO20" s="1">
        <v>0.25345593023738272</v>
      </c>
      <c r="AP20" s="1">
        <v>840</v>
      </c>
      <c r="AQ20" s="1">
        <v>274774</v>
      </c>
      <c r="AR20" s="1">
        <v>0.30570578002285514</v>
      </c>
      <c r="AS20" s="1">
        <v>1599</v>
      </c>
      <c r="AT20" s="1">
        <v>273481</v>
      </c>
      <c r="AU20" s="1">
        <v>0.58468412796501401</v>
      </c>
    </row>
    <row r="21" spans="1:47" x14ac:dyDescent="0.35">
      <c r="A21" s="4" t="s">
        <v>60</v>
      </c>
      <c r="B21" s="5" t="s">
        <v>45</v>
      </c>
      <c r="C21" s="5" t="s">
        <v>100</v>
      </c>
      <c r="D21" s="5" t="s">
        <v>117</v>
      </c>
      <c r="E21" s="6">
        <v>16.600000000000001</v>
      </c>
      <c r="F21" s="1">
        <v>8.1185359970000359</v>
      </c>
      <c r="G21" s="1">
        <v>8.3491415980000312</v>
      </c>
      <c r="H21" s="1">
        <v>7.916034877000051</v>
      </c>
      <c r="I21" s="1">
        <v>11.812374899999893</v>
      </c>
      <c r="J21" s="1">
        <v>8.8846337599999021</v>
      </c>
      <c r="K21" s="1">
        <v>14.384839399999873</v>
      </c>
      <c r="L21" s="1">
        <v>81.401966400000532</v>
      </c>
      <c r="M21" s="1">
        <v>48.892226100000443</v>
      </c>
      <c r="N21" s="1">
        <v>72.656722779000106</v>
      </c>
      <c r="O21" s="1">
        <v>96.584416279001204</v>
      </c>
      <c r="P21" s="1">
        <v>89.347463751000618</v>
      </c>
      <c r="Q21" s="1">
        <v>67.193647898999899</v>
      </c>
      <c r="R21" s="1">
        <v>1799019</v>
      </c>
      <c r="S21" s="1">
        <v>2333129</v>
      </c>
      <c r="T21" s="1">
        <v>4132148</v>
      </c>
      <c r="U21" s="3">
        <v>43.537138553604564</v>
      </c>
      <c r="V21" s="3">
        <v>56.462861446395429</v>
      </c>
      <c r="W21" s="1">
        <v>1221555</v>
      </c>
      <c r="X21" s="1">
        <v>2694268</v>
      </c>
      <c r="Y21" s="1">
        <v>1477</v>
      </c>
      <c r="Z21" s="1">
        <v>3917300</v>
      </c>
      <c r="AA21" s="3">
        <v>31.183595844076279</v>
      </c>
      <c r="AB21" s="3">
        <v>68.77869961453041</v>
      </c>
      <c r="AC21" s="3">
        <v>3.7704541393306618E-2</v>
      </c>
      <c r="AD21" s="1">
        <v>1081269</v>
      </c>
      <c r="AE21" s="1">
        <v>134111</v>
      </c>
      <c r="AF21" s="1">
        <v>6175</v>
      </c>
      <c r="AG21" s="3">
        <v>88.515785208197755</v>
      </c>
      <c r="AH21" s="3">
        <v>10.978711560265401</v>
      </c>
      <c r="AI21" s="3">
        <v>0.50550323153685262</v>
      </c>
      <c r="AJ21" s="1">
        <v>44443</v>
      </c>
      <c r="AK21" s="1">
        <v>234650</v>
      </c>
      <c r="AL21" s="1">
        <f t="shared" si="0"/>
        <v>18.940123588323036</v>
      </c>
      <c r="AM21" s="1">
        <v>111434</v>
      </c>
      <c r="AN21" s="1">
        <v>467475</v>
      </c>
      <c r="AO21" s="1">
        <v>23.837424461201135</v>
      </c>
      <c r="AP21" s="1">
        <v>64840</v>
      </c>
      <c r="AQ21" s="1">
        <v>239389</v>
      </c>
      <c r="AR21" s="1">
        <v>27.085622146380995</v>
      </c>
      <c r="AS21" s="1">
        <v>60801</v>
      </c>
      <c r="AT21" s="1">
        <v>225941</v>
      </c>
      <c r="AU21" s="1">
        <v>26.910122554118111</v>
      </c>
    </row>
    <row r="22" spans="1:47" x14ac:dyDescent="0.35">
      <c r="A22" s="4" t="s">
        <v>61</v>
      </c>
      <c r="B22" s="5" t="s">
        <v>44</v>
      </c>
      <c r="C22" s="5" t="s">
        <v>101</v>
      </c>
      <c r="D22" s="5" t="s">
        <v>112</v>
      </c>
      <c r="E22" s="6">
        <v>8.4</v>
      </c>
      <c r="F22" s="1">
        <v>9.1604720820000249</v>
      </c>
      <c r="G22" s="1">
        <v>9.3134156260000367</v>
      </c>
      <c r="H22" s="1">
        <v>9.0245521340000217</v>
      </c>
      <c r="I22" s="1">
        <v>6.9665573800000242</v>
      </c>
      <c r="J22" s="1">
        <v>5.3789877299999871</v>
      </c>
      <c r="K22" s="1">
        <v>8.3772816200000246</v>
      </c>
      <c r="L22" s="1">
        <v>83.986920100000106</v>
      </c>
      <c r="M22" s="1">
        <v>59.63644709999982</v>
      </c>
      <c r="N22" s="1">
        <v>69.118078911000225</v>
      </c>
      <c r="O22" s="1">
        <v>96.084345734999758</v>
      </c>
      <c r="P22" s="1">
        <v>88.97549773200042</v>
      </c>
      <c r="Q22" s="1">
        <v>71.206182285999716</v>
      </c>
      <c r="R22" s="1">
        <v>1054365</v>
      </c>
      <c r="S22" s="1">
        <v>5528913</v>
      </c>
      <c r="T22" s="1">
        <v>6583278</v>
      </c>
      <c r="U22" s="3">
        <v>16.015805499934835</v>
      </c>
      <c r="V22" s="3">
        <v>83.984194500065172</v>
      </c>
      <c r="W22" s="1">
        <v>615622</v>
      </c>
      <c r="X22" s="1">
        <v>5619623</v>
      </c>
      <c r="Y22" s="1">
        <v>3337</v>
      </c>
      <c r="Z22" s="1">
        <v>6238582</v>
      </c>
      <c r="AA22" s="3">
        <v>9.8679796145983172</v>
      </c>
      <c r="AB22" s="3">
        <v>90.078530666103291</v>
      </c>
      <c r="AC22" s="3">
        <v>5.3489719298391844E-2</v>
      </c>
      <c r="AD22" s="1">
        <v>571776</v>
      </c>
      <c r="AE22" s="1">
        <v>40879</v>
      </c>
      <c r="AF22" s="1">
        <v>2967</v>
      </c>
      <c r="AG22" s="3">
        <v>92.877772399296973</v>
      </c>
      <c r="AH22" s="3">
        <v>6.6402760135277825</v>
      </c>
      <c r="AI22" s="3">
        <v>0.48195158717524711</v>
      </c>
      <c r="AJ22" s="1">
        <v>17516</v>
      </c>
      <c r="AK22" s="1">
        <v>360962</v>
      </c>
      <c r="AL22" s="1">
        <f t="shared" si="0"/>
        <v>4.8525883611017226</v>
      </c>
      <c r="AM22" s="1">
        <v>48830</v>
      </c>
      <c r="AN22" s="1">
        <v>718424</v>
      </c>
      <c r="AO22" s="1">
        <v>6.7968219324521444</v>
      </c>
      <c r="AP22" s="1">
        <v>28671</v>
      </c>
      <c r="AQ22" s="1">
        <v>362293</v>
      </c>
      <c r="AR22" s="1">
        <v>7.9137604093923981</v>
      </c>
      <c r="AS22" s="1">
        <v>29441</v>
      </c>
      <c r="AT22" s="1">
        <v>367631</v>
      </c>
      <c r="AU22" s="1">
        <v>8.0083018026227393</v>
      </c>
    </row>
    <row r="23" spans="1:47" x14ac:dyDescent="0.35">
      <c r="A23" s="4" t="s">
        <v>62</v>
      </c>
      <c r="B23" s="5" t="s">
        <v>43</v>
      </c>
      <c r="C23" s="5" t="s">
        <v>102</v>
      </c>
      <c r="D23" s="5" t="s">
        <v>118</v>
      </c>
      <c r="E23" s="6">
        <v>0.4</v>
      </c>
      <c r="F23" s="1">
        <v>10.484599019999997</v>
      </c>
      <c r="G23" s="1">
        <v>10.638238949999996</v>
      </c>
      <c r="H23" s="1">
        <v>10.341303159999999</v>
      </c>
      <c r="I23" s="1">
        <v>3.4717520199999985</v>
      </c>
      <c r="J23" s="1">
        <v>2.5983227899999997</v>
      </c>
      <c r="K23" s="1">
        <v>4.2863291299999995</v>
      </c>
      <c r="L23" s="1">
        <v>90.553437399999964</v>
      </c>
      <c r="M23" s="1">
        <v>62.227144200000012</v>
      </c>
      <c r="N23" s="1">
        <v>62.460491125999994</v>
      </c>
      <c r="O23" s="1">
        <v>95.879797308999983</v>
      </c>
      <c r="P23" s="1">
        <v>91.344450190000032</v>
      </c>
      <c r="Q23" s="1">
        <v>71.848251353999999</v>
      </c>
      <c r="R23" s="1">
        <v>64051</v>
      </c>
      <c r="S23" s="1">
        <v>2304416</v>
      </c>
      <c r="T23" s="1">
        <v>2368467</v>
      </c>
      <c r="U23" s="3">
        <v>2.7043230916875767</v>
      </c>
      <c r="V23" s="3">
        <v>97.29567690831243</v>
      </c>
      <c r="W23" s="1">
        <v>31383</v>
      </c>
      <c r="X23" s="1">
        <v>2220230</v>
      </c>
      <c r="Y23" s="1">
        <v>1801</v>
      </c>
      <c r="Z23" s="1">
        <v>2253414</v>
      </c>
      <c r="AA23" s="3">
        <v>1.392686829850174</v>
      </c>
      <c r="AB23" s="3">
        <v>98.527389995801926</v>
      </c>
      <c r="AC23" s="3">
        <v>7.9923174347900569E-2</v>
      </c>
      <c r="AD23" s="1">
        <v>30571</v>
      </c>
      <c r="AE23" s="1">
        <v>594</v>
      </c>
      <c r="AF23" s="1">
        <v>218</v>
      </c>
      <c r="AG23" s="3">
        <v>97.412611923652932</v>
      </c>
      <c r="AH23" s="3">
        <v>1.8927444794952681</v>
      </c>
      <c r="AI23" s="3">
        <v>0.69464359685179866</v>
      </c>
      <c r="AJ23" s="1">
        <v>475</v>
      </c>
      <c r="AK23" s="1">
        <v>119277</v>
      </c>
      <c r="AL23" s="1">
        <f t="shared" si="0"/>
        <v>0.39823268526203714</v>
      </c>
      <c r="AM23" s="1">
        <v>1640</v>
      </c>
      <c r="AN23" s="1">
        <v>237998</v>
      </c>
      <c r="AO23" s="1">
        <v>0.68908142085227608</v>
      </c>
      <c r="AP23" s="1">
        <v>1072</v>
      </c>
      <c r="AQ23" s="1">
        <v>117959</v>
      </c>
      <c r="AR23" s="1">
        <v>0.90879034240710743</v>
      </c>
      <c r="AS23" s="1">
        <v>1182</v>
      </c>
      <c r="AT23" s="1">
        <v>117062</v>
      </c>
      <c r="AU23" s="1">
        <v>1.00972134424493</v>
      </c>
    </row>
    <row r="24" spans="1:47" x14ac:dyDescent="0.35">
      <c r="A24" s="4" t="s">
        <v>8</v>
      </c>
      <c r="B24" s="5" t="s">
        <v>42</v>
      </c>
      <c r="C24" s="5" t="s">
        <v>103</v>
      </c>
      <c r="D24" s="5" t="s">
        <v>119</v>
      </c>
      <c r="E24" s="6">
        <v>2.8</v>
      </c>
      <c r="F24" s="1">
        <v>10.239289490000003</v>
      </c>
      <c r="G24" s="1">
        <v>10.35811762</v>
      </c>
      <c r="H24" s="1">
        <v>10.119020039999999</v>
      </c>
      <c r="I24" s="1">
        <v>3.0606793600000004</v>
      </c>
      <c r="J24" s="1">
        <v>2.4724977800000003</v>
      </c>
      <c r="K24" s="1">
        <v>3.6561599199999999</v>
      </c>
      <c r="L24" s="1">
        <v>89.202916599999995</v>
      </c>
      <c r="M24" s="1">
        <v>60.147646200000011</v>
      </c>
      <c r="N24" s="1">
        <v>55.696388784000007</v>
      </c>
      <c r="O24" s="1">
        <v>93.886455876999989</v>
      </c>
      <c r="P24" s="1">
        <v>91.452756251999986</v>
      </c>
      <c r="Q24" s="1">
        <v>75.328977851999994</v>
      </c>
      <c r="R24" s="1">
        <v>427625</v>
      </c>
      <c r="S24" s="1">
        <v>1430360</v>
      </c>
      <c r="T24" s="1">
        <v>1857985</v>
      </c>
      <c r="U24" s="3">
        <v>23.01552488313953</v>
      </c>
      <c r="V24" s="3">
        <v>76.98447511686048</v>
      </c>
      <c r="W24" s="1">
        <v>204949</v>
      </c>
      <c r="X24" s="1">
        <v>1544849</v>
      </c>
      <c r="Y24" s="1">
        <v>2772</v>
      </c>
      <c r="Z24" s="1">
        <v>1752570</v>
      </c>
      <c r="AA24" s="3">
        <v>11.694197664002008</v>
      </c>
      <c r="AB24" s="3">
        <v>88.147634616591631</v>
      </c>
      <c r="AC24" s="3">
        <v>0.15816771940635752</v>
      </c>
      <c r="AD24" s="1">
        <v>195543</v>
      </c>
      <c r="AE24" s="1">
        <v>7307</v>
      </c>
      <c r="AF24" s="1">
        <v>2099</v>
      </c>
      <c r="AG24" s="3">
        <v>95.410565555333278</v>
      </c>
      <c r="AH24" s="3">
        <v>3.5652772153072227</v>
      </c>
      <c r="AI24" s="3">
        <v>1.0241572293594992</v>
      </c>
      <c r="AJ24" s="1">
        <v>2535</v>
      </c>
      <c r="AK24" s="1">
        <v>95148</v>
      </c>
      <c r="AL24" s="1">
        <f t="shared" si="0"/>
        <v>2.6642703997982089</v>
      </c>
      <c r="AM24" s="1">
        <v>7265</v>
      </c>
      <c r="AN24" s="1">
        <v>187011</v>
      </c>
      <c r="AO24" s="1">
        <v>3.8847982204255365</v>
      </c>
      <c r="AP24" s="1">
        <v>4703</v>
      </c>
      <c r="AQ24" s="1">
        <v>90848</v>
      </c>
      <c r="AR24" s="1">
        <v>5.1767787953504758</v>
      </c>
      <c r="AS24" s="1">
        <v>5648</v>
      </c>
      <c r="AT24" s="1">
        <v>86328</v>
      </c>
      <c r="AU24" s="1">
        <v>6.5424891112964509</v>
      </c>
    </row>
    <row r="25" spans="1:47" x14ac:dyDescent="0.35">
      <c r="A25" s="4" t="s">
        <v>7</v>
      </c>
      <c r="B25" s="5" t="s">
        <v>41</v>
      </c>
      <c r="C25" s="5" t="s">
        <v>104</v>
      </c>
      <c r="D25" s="5" t="s">
        <v>113</v>
      </c>
      <c r="E25" s="6">
        <v>3.1</v>
      </c>
      <c r="F25" s="1">
        <v>9.6131274009999927</v>
      </c>
      <c r="G25" s="1">
        <v>9.5829650970000042</v>
      </c>
      <c r="H25" s="1">
        <v>9.6409139009999887</v>
      </c>
      <c r="I25" s="1">
        <v>5.0047877700000054</v>
      </c>
      <c r="J25" s="1">
        <v>4.6019144800000031</v>
      </c>
      <c r="K25" s="1">
        <v>5.3758675900000021</v>
      </c>
      <c r="L25" s="1">
        <v>90.640118199999975</v>
      </c>
      <c r="M25" s="1">
        <v>57.898409899999962</v>
      </c>
      <c r="N25" s="1">
        <v>74.104103358999978</v>
      </c>
      <c r="O25" s="1">
        <v>96.555049029000003</v>
      </c>
      <c r="P25" s="1">
        <v>92.551050510000067</v>
      </c>
      <c r="Q25" s="1">
        <v>71.366583053999975</v>
      </c>
      <c r="R25" s="1">
        <v>340398</v>
      </c>
      <c r="S25" s="1">
        <v>2481857</v>
      </c>
      <c r="T25" s="1">
        <v>2822255</v>
      </c>
      <c r="U25" s="3">
        <v>12.061206375752723</v>
      </c>
      <c r="V25" s="3">
        <v>87.938793624247282</v>
      </c>
      <c r="W25" s="1">
        <v>231213</v>
      </c>
      <c r="X25" s="1">
        <v>2453551</v>
      </c>
      <c r="Y25" s="1">
        <v>2915</v>
      </c>
      <c r="Z25" s="1">
        <v>2687679</v>
      </c>
      <c r="AA25" s="3">
        <v>8.6027014386762701</v>
      </c>
      <c r="AB25" s="3">
        <v>91.288840668844756</v>
      </c>
      <c r="AC25" s="3">
        <v>0.10845789247897536</v>
      </c>
      <c r="AD25" s="1">
        <v>218910</v>
      </c>
      <c r="AE25" s="1">
        <v>9996</v>
      </c>
      <c r="AF25" s="1">
        <v>2307</v>
      </c>
      <c r="AG25" s="3">
        <v>94.678932412969857</v>
      </c>
      <c r="AH25" s="3">
        <v>4.3232863204058596</v>
      </c>
      <c r="AI25" s="3">
        <v>0.99778126662428157</v>
      </c>
      <c r="AJ25" s="1">
        <v>7360</v>
      </c>
      <c r="AK25" s="1">
        <v>147757</v>
      </c>
      <c r="AL25" s="1">
        <f t="shared" si="0"/>
        <v>4.981151485208823</v>
      </c>
      <c r="AM25" s="1">
        <v>19545</v>
      </c>
      <c r="AN25" s="1">
        <v>293502</v>
      </c>
      <c r="AO25" s="1">
        <v>6.6592391193245701</v>
      </c>
      <c r="AP25" s="1">
        <v>12670</v>
      </c>
      <c r="AQ25" s="1">
        <v>152545</v>
      </c>
      <c r="AR25" s="1">
        <v>8.3057458454882163</v>
      </c>
      <c r="AS25" s="1">
        <v>13467</v>
      </c>
      <c r="AT25" s="1">
        <v>153485</v>
      </c>
      <c r="AU25" s="1">
        <v>8.7741473108121326</v>
      </c>
    </row>
    <row r="26" spans="1:47" x14ac:dyDescent="0.35">
      <c r="A26" s="4" t="s">
        <v>63</v>
      </c>
      <c r="B26" s="5" t="s">
        <v>40</v>
      </c>
      <c r="C26" s="5" t="s">
        <v>105</v>
      </c>
      <c r="D26" s="5" t="s">
        <v>114</v>
      </c>
      <c r="E26" s="6">
        <v>0.5</v>
      </c>
      <c r="F26" s="1">
        <v>10.22350842</v>
      </c>
      <c r="G26" s="1">
        <v>10.114254929999996</v>
      </c>
      <c r="H26" s="1">
        <v>10.327941350000001</v>
      </c>
      <c r="I26" s="1">
        <v>3.5515630299999987</v>
      </c>
      <c r="J26" s="1">
        <v>3.8861443899999992</v>
      </c>
      <c r="K26" s="1">
        <v>3.2316737000000013</v>
      </c>
      <c r="L26" s="1">
        <v>89.607766800000022</v>
      </c>
      <c r="M26" s="1">
        <v>67.705358200000006</v>
      </c>
      <c r="N26" s="1">
        <v>62.723778595000013</v>
      </c>
      <c r="O26" s="1">
        <v>96.289716747000028</v>
      </c>
      <c r="P26" s="1">
        <v>92.764183989000003</v>
      </c>
      <c r="Q26" s="1">
        <v>80.445283795000009</v>
      </c>
      <c r="R26" s="1">
        <v>65800</v>
      </c>
      <c r="S26" s="1">
        <v>2961143</v>
      </c>
      <c r="T26" s="1">
        <v>3026943</v>
      </c>
      <c r="U26" s="3">
        <v>2.1738103426460293</v>
      </c>
      <c r="V26" s="3">
        <v>97.826189657353964</v>
      </c>
      <c r="W26" s="1">
        <v>35539</v>
      </c>
      <c r="X26" s="1">
        <v>2848277</v>
      </c>
      <c r="Y26" s="1">
        <v>1499</v>
      </c>
      <c r="Z26" s="1">
        <v>2885315</v>
      </c>
      <c r="AA26" s="3">
        <v>1.2317199335254556</v>
      </c>
      <c r="AB26" s="3">
        <v>98.716327333410732</v>
      </c>
      <c r="AC26" s="3">
        <v>5.1952733063807592E-2</v>
      </c>
      <c r="AD26" s="1">
        <v>34314</v>
      </c>
      <c r="AE26" s="1">
        <v>1004</v>
      </c>
      <c r="AF26" s="1">
        <v>221</v>
      </c>
      <c r="AG26" s="3">
        <v>96.553082529052588</v>
      </c>
      <c r="AH26" s="3">
        <v>2.8250654210866935</v>
      </c>
      <c r="AI26" s="3">
        <v>0.6218520498607164</v>
      </c>
      <c r="AJ26" s="1">
        <v>964</v>
      </c>
      <c r="AK26" s="1">
        <v>145959</v>
      </c>
      <c r="AL26" s="1">
        <f t="shared" si="0"/>
        <v>0.66045944409046375</v>
      </c>
      <c r="AM26" s="1">
        <v>2212</v>
      </c>
      <c r="AN26" s="1">
        <v>305098</v>
      </c>
      <c r="AO26" s="1">
        <v>0.72501294665976179</v>
      </c>
      <c r="AP26" s="1">
        <v>1245</v>
      </c>
      <c r="AQ26" s="1">
        <v>156444</v>
      </c>
      <c r="AR26" s="1">
        <v>0.79581191992022704</v>
      </c>
      <c r="AS26" s="1">
        <v>1517</v>
      </c>
      <c r="AT26" s="1">
        <v>155676</v>
      </c>
      <c r="AU26" s="1">
        <v>0.97445977543102347</v>
      </c>
    </row>
    <row r="27" spans="1:47" x14ac:dyDescent="0.35">
      <c r="A27" s="4" t="s">
        <v>6</v>
      </c>
      <c r="B27" s="5" t="s">
        <v>39</v>
      </c>
      <c r="C27" s="5" t="s">
        <v>106</v>
      </c>
      <c r="D27" s="5" t="s">
        <v>115</v>
      </c>
      <c r="E27" s="6">
        <v>0.9</v>
      </c>
      <c r="F27" s="1">
        <v>10.403196920000019</v>
      </c>
      <c r="G27" s="1">
        <v>10.353896179999994</v>
      </c>
      <c r="H27" s="1">
        <v>10.451876800000006</v>
      </c>
      <c r="I27" s="1">
        <v>1.989570240000003</v>
      </c>
      <c r="J27" s="1">
        <v>2.0673971500000028</v>
      </c>
      <c r="K27" s="1">
        <v>1.9126221899999978</v>
      </c>
      <c r="L27" s="1">
        <v>92.248272300000068</v>
      </c>
      <c r="M27" s="1">
        <v>62.775350899999985</v>
      </c>
      <c r="N27" s="1">
        <v>53.929240141999912</v>
      </c>
      <c r="O27" s="1">
        <v>96.256390247999917</v>
      </c>
      <c r="P27" s="1">
        <v>93.448738422000076</v>
      </c>
      <c r="Q27" s="1">
        <v>77.220715960000149</v>
      </c>
      <c r="R27" s="1">
        <v>131432</v>
      </c>
      <c r="S27" s="1">
        <v>2813408</v>
      </c>
      <c r="T27" s="1">
        <v>2944840</v>
      </c>
      <c r="U27" s="3">
        <v>4.4631287268578257</v>
      </c>
      <c r="V27" s="3">
        <v>95.536871273142182</v>
      </c>
      <c r="W27" s="1">
        <v>62808</v>
      </c>
      <c r="X27" s="1">
        <v>2752543</v>
      </c>
      <c r="Y27" s="1">
        <v>2470</v>
      </c>
      <c r="Z27" s="1">
        <v>2817821</v>
      </c>
      <c r="AA27" s="3">
        <v>2.2289563460560484</v>
      </c>
      <c r="AB27" s="3">
        <v>97.683387269808833</v>
      </c>
      <c r="AC27" s="3">
        <v>8.7656384135117171E-2</v>
      </c>
      <c r="AD27" s="1">
        <v>61130</v>
      </c>
      <c r="AE27" s="1">
        <v>1104</v>
      </c>
      <c r="AF27" s="1">
        <v>574</v>
      </c>
      <c r="AG27" s="3">
        <v>97.3283658132722</v>
      </c>
      <c r="AH27" s="3">
        <v>1.757737867787543</v>
      </c>
      <c r="AI27" s="3">
        <v>0.91389631894026235</v>
      </c>
      <c r="AJ27" s="1">
        <v>1142</v>
      </c>
      <c r="AK27" s="1">
        <v>143132</v>
      </c>
      <c r="AL27" s="1">
        <f t="shared" si="0"/>
        <v>0.79786490791716735</v>
      </c>
      <c r="AM27" s="1">
        <v>2970</v>
      </c>
      <c r="AN27" s="1">
        <v>299871</v>
      </c>
      <c r="AO27" s="1">
        <v>0.99042588312974567</v>
      </c>
      <c r="AP27" s="1">
        <v>1701</v>
      </c>
      <c r="AQ27" s="1">
        <v>156550</v>
      </c>
      <c r="AR27" s="1">
        <v>1.0865538166719897</v>
      </c>
      <c r="AS27" s="1">
        <v>1980</v>
      </c>
      <c r="AT27" s="1">
        <v>152327</v>
      </c>
      <c r="AU27" s="1">
        <v>1.299835222908611</v>
      </c>
    </row>
    <row r="28" spans="1:47" x14ac:dyDescent="0.35">
      <c r="A28" s="4" t="s">
        <v>5</v>
      </c>
      <c r="B28" s="5" t="s">
        <v>38</v>
      </c>
      <c r="C28" s="5" t="s">
        <v>107</v>
      </c>
      <c r="D28" s="5" t="s">
        <v>120</v>
      </c>
      <c r="E28" s="6">
        <v>1.2</v>
      </c>
      <c r="F28" s="1">
        <v>9.6933956750000014</v>
      </c>
      <c r="G28" s="1">
        <v>9.8684674989999994</v>
      </c>
      <c r="H28" s="1">
        <v>9.5309785550000008</v>
      </c>
      <c r="I28" s="1">
        <v>5.083036390000002</v>
      </c>
      <c r="J28" s="1">
        <v>4.2479426499999997</v>
      </c>
      <c r="K28" s="1">
        <v>5.8579468599999993</v>
      </c>
      <c r="L28" s="1">
        <v>89.19943779999997</v>
      </c>
      <c r="M28" s="1">
        <v>64.931717500000005</v>
      </c>
      <c r="N28" s="1">
        <v>77.296396897000008</v>
      </c>
      <c r="O28" s="1">
        <v>96.235954013000011</v>
      </c>
      <c r="P28" s="1">
        <v>92.639385611999998</v>
      </c>
      <c r="Q28" s="1">
        <v>79.082151290999974</v>
      </c>
      <c r="R28" s="1">
        <v>158385</v>
      </c>
      <c r="S28" s="1">
        <v>2244213</v>
      </c>
      <c r="T28" s="1">
        <v>2402598</v>
      </c>
      <c r="U28" s="3">
        <v>6.5922389013892451</v>
      </c>
      <c r="V28" s="3">
        <v>93.407761098610749</v>
      </c>
      <c r="W28" s="1">
        <v>91025</v>
      </c>
      <c r="X28" s="1">
        <v>2191437</v>
      </c>
      <c r="Y28" s="1">
        <v>921</v>
      </c>
      <c r="Z28" s="1">
        <v>2283383</v>
      </c>
      <c r="AA28" s="3">
        <v>3.9864096386808519</v>
      </c>
      <c r="AB28" s="3">
        <v>95.973255472253229</v>
      </c>
      <c r="AC28" s="3">
        <v>4.0334889065916667E-2</v>
      </c>
      <c r="AD28" s="1">
        <v>89353</v>
      </c>
      <c r="AE28" s="1">
        <v>960</v>
      </c>
      <c r="AF28" s="1">
        <v>712</v>
      </c>
      <c r="AG28" s="3">
        <v>98.163141993957709</v>
      </c>
      <c r="AH28" s="3">
        <v>1.0546553144740456</v>
      </c>
      <c r="AI28" s="3">
        <v>0.78220269156825051</v>
      </c>
      <c r="AJ28" s="1">
        <v>2425</v>
      </c>
      <c r="AK28" s="1">
        <v>133274</v>
      </c>
      <c r="AL28" s="1">
        <f t="shared" si="0"/>
        <v>1.8195597040683102</v>
      </c>
      <c r="AM28" s="1">
        <v>7277</v>
      </c>
      <c r="AN28" s="1">
        <v>269205</v>
      </c>
      <c r="AO28" s="1">
        <v>2.7031444438253378</v>
      </c>
      <c r="AP28" s="1">
        <v>3899</v>
      </c>
      <c r="AQ28" s="1">
        <v>132815</v>
      </c>
      <c r="AR28" s="1">
        <v>2.9356623875315289</v>
      </c>
      <c r="AS28" s="1">
        <v>3808</v>
      </c>
      <c r="AT28" s="1">
        <v>127886</v>
      </c>
      <c r="AU28" s="1">
        <v>2.9776519712869276</v>
      </c>
    </row>
    <row r="29" spans="1:47" x14ac:dyDescent="0.35">
      <c r="A29" s="4" t="s">
        <v>4</v>
      </c>
      <c r="B29" s="5" t="s">
        <v>37</v>
      </c>
      <c r="C29" s="5" t="s">
        <v>108</v>
      </c>
      <c r="D29" s="5" t="s">
        <v>121</v>
      </c>
      <c r="E29" s="6">
        <v>0.3</v>
      </c>
      <c r="F29" s="1">
        <v>10.092208780000005</v>
      </c>
      <c r="G29" s="1">
        <v>10.126465940000001</v>
      </c>
      <c r="H29" s="1">
        <v>10.059694499999994</v>
      </c>
      <c r="I29" s="1">
        <v>2.572905789999997</v>
      </c>
      <c r="J29" s="1">
        <v>2.4312857900000009</v>
      </c>
      <c r="K29" s="1">
        <v>2.7073782300000024</v>
      </c>
      <c r="L29" s="1">
        <v>91.226624999999899</v>
      </c>
      <c r="M29" s="1">
        <v>63.139644599999926</v>
      </c>
      <c r="N29" s="1">
        <v>55.551193868999995</v>
      </c>
      <c r="O29" s="1">
        <v>95.387931754999968</v>
      </c>
      <c r="P29" s="1">
        <v>91.567445034000102</v>
      </c>
      <c r="Q29" s="1">
        <v>76.182412206000066</v>
      </c>
      <c r="R29" s="1">
        <v>59942</v>
      </c>
      <c r="S29" s="1">
        <v>3467793</v>
      </c>
      <c r="T29" s="1">
        <v>3527735</v>
      </c>
      <c r="U29" s="3">
        <v>1.6991639111214418</v>
      </c>
      <c r="V29" s="3">
        <v>98.300836088878569</v>
      </c>
      <c r="W29" s="1">
        <v>22651</v>
      </c>
      <c r="X29" s="1">
        <v>3341279</v>
      </c>
      <c r="Y29" s="1">
        <v>3193</v>
      </c>
      <c r="Z29" s="1">
        <v>3367123</v>
      </c>
      <c r="AA29" s="3">
        <v>0.67271079791263944</v>
      </c>
      <c r="AB29" s="3">
        <v>99.232460471446998</v>
      </c>
      <c r="AC29" s="3">
        <v>9.4828730640371617E-2</v>
      </c>
      <c r="AD29" s="1">
        <v>22365</v>
      </c>
      <c r="AE29" s="1">
        <v>145</v>
      </c>
      <c r="AF29" s="1">
        <v>141</v>
      </c>
      <c r="AG29" s="3">
        <v>98.737362588848171</v>
      </c>
      <c r="AH29" s="3">
        <v>0.64014833782172975</v>
      </c>
      <c r="AI29" s="3">
        <v>0.62248907333009584</v>
      </c>
      <c r="AJ29" s="1">
        <v>83</v>
      </c>
      <c r="AK29" s="1">
        <v>175773</v>
      </c>
      <c r="AL29" s="1">
        <f t="shared" si="0"/>
        <v>4.721999396949475E-2</v>
      </c>
      <c r="AM29" s="1">
        <v>256</v>
      </c>
      <c r="AN29" s="1">
        <v>359058</v>
      </c>
      <c r="AO29" s="1">
        <v>7.129767335639367E-2</v>
      </c>
      <c r="AP29" s="1">
        <v>186</v>
      </c>
      <c r="AQ29" s="1">
        <v>181748</v>
      </c>
      <c r="AR29" s="1">
        <v>0.1023395030481766</v>
      </c>
      <c r="AS29" s="1">
        <v>282</v>
      </c>
      <c r="AT29" s="1">
        <v>175383</v>
      </c>
      <c r="AU29" s="1">
        <v>0.16079095465352972</v>
      </c>
    </row>
    <row r="30" spans="1:47" x14ac:dyDescent="0.35">
      <c r="A30" s="4" t="s">
        <v>3</v>
      </c>
      <c r="B30" s="5" t="s">
        <v>36</v>
      </c>
      <c r="C30" s="5" t="s">
        <v>109</v>
      </c>
      <c r="D30" s="5" t="s">
        <v>122</v>
      </c>
      <c r="E30" s="6">
        <v>0.4</v>
      </c>
      <c r="F30" s="1">
        <v>9.8331696220000104</v>
      </c>
      <c r="G30" s="1">
        <v>9.9223603489999839</v>
      </c>
      <c r="H30" s="1">
        <v>9.7522588090000024</v>
      </c>
      <c r="I30" s="1">
        <v>3.3478898200000038</v>
      </c>
      <c r="J30" s="1">
        <v>2.5643239100000015</v>
      </c>
      <c r="K30" s="1">
        <v>4.0587104399999996</v>
      </c>
      <c r="L30" s="1">
        <v>91.188112699999962</v>
      </c>
      <c r="M30" s="1">
        <v>61.515574399999977</v>
      </c>
      <c r="N30" s="1">
        <v>61.430779923000038</v>
      </c>
      <c r="O30" s="1">
        <v>96.383897951999941</v>
      </c>
      <c r="P30" s="1">
        <v>92.448665083999941</v>
      </c>
      <c r="Q30" s="1">
        <v>75.39604501299992</v>
      </c>
      <c r="R30" s="1">
        <v>69135</v>
      </c>
      <c r="S30" s="1">
        <v>1273842</v>
      </c>
      <c r="T30" s="1">
        <v>1342977</v>
      </c>
      <c r="U30" s="3">
        <v>5.147891587123234</v>
      </c>
      <c r="V30" s="3">
        <v>94.852108412876774</v>
      </c>
      <c r="W30" s="1">
        <v>27174</v>
      </c>
      <c r="X30" s="1">
        <v>1230069</v>
      </c>
      <c r="Y30" s="1">
        <v>850</v>
      </c>
      <c r="Z30" s="1">
        <v>1258093</v>
      </c>
      <c r="AA30" s="3">
        <v>2.159935712224772</v>
      </c>
      <c r="AB30" s="3">
        <v>97.772501714897075</v>
      </c>
      <c r="AC30" s="3">
        <v>6.7562572878157659E-2</v>
      </c>
      <c r="AD30" s="1">
        <v>26536</v>
      </c>
      <c r="AE30" s="1">
        <v>440</v>
      </c>
      <c r="AF30" s="1">
        <v>198</v>
      </c>
      <c r="AG30" s="3">
        <v>97.652167513063958</v>
      </c>
      <c r="AH30" s="3">
        <v>1.6191948185765808</v>
      </c>
      <c r="AI30" s="3">
        <v>0.7286376683594612</v>
      </c>
      <c r="AJ30" s="1">
        <v>322</v>
      </c>
      <c r="AK30" s="1">
        <v>70507</v>
      </c>
      <c r="AL30" s="1">
        <f t="shared" si="0"/>
        <v>0.45669224332335795</v>
      </c>
      <c r="AM30" s="1">
        <v>1121</v>
      </c>
      <c r="AN30" s="1">
        <v>141423</v>
      </c>
      <c r="AO30" s="1">
        <v>0.79265748852732576</v>
      </c>
      <c r="AP30" s="1">
        <v>588</v>
      </c>
      <c r="AQ30" s="1">
        <v>72027</v>
      </c>
      <c r="AR30" s="1">
        <v>0.81636053146736642</v>
      </c>
      <c r="AS30" s="1">
        <v>681</v>
      </c>
      <c r="AT30" s="1">
        <v>73224</v>
      </c>
      <c r="AU30" s="1">
        <v>0.93002294329727964</v>
      </c>
    </row>
    <row r="31" spans="1:47" x14ac:dyDescent="0.35">
      <c r="A31" s="4" t="s">
        <v>2</v>
      </c>
      <c r="B31" s="5" t="s">
        <v>35</v>
      </c>
      <c r="C31" s="5" t="s">
        <v>141</v>
      </c>
      <c r="D31" s="5" t="s">
        <v>123</v>
      </c>
      <c r="E31" s="6">
        <v>9</v>
      </c>
      <c r="F31" s="1">
        <v>8.7456290580000271</v>
      </c>
      <c r="G31" s="1">
        <v>8.8583167469999502</v>
      </c>
      <c r="H31" s="1">
        <v>8.644996423000018</v>
      </c>
      <c r="I31" s="1">
        <v>8.4909889900000035</v>
      </c>
      <c r="J31" s="1">
        <v>7.1834682599999882</v>
      </c>
      <c r="K31" s="1">
        <v>9.6587460799999558</v>
      </c>
      <c r="L31" s="1">
        <v>83.603267200000104</v>
      </c>
      <c r="M31" s="1">
        <v>58.762579199999898</v>
      </c>
      <c r="N31" s="1">
        <v>61.214071661999817</v>
      </c>
      <c r="O31" s="1">
        <v>95.422520937000129</v>
      </c>
      <c r="P31" s="1">
        <v>89.243270966999646</v>
      </c>
      <c r="Q31" s="1">
        <v>72.615493551000228</v>
      </c>
      <c r="R31" s="1">
        <v>1027893</v>
      </c>
      <c r="S31" s="1">
        <v>7034686</v>
      </c>
      <c r="T31" s="1">
        <v>8062579</v>
      </c>
      <c r="U31" s="3">
        <v>12.748935545313728</v>
      </c>
      <c r="V31" s="3">
        <v>87.251064454686272</v>
      </c>
      <c r="W31" s="1">
        <v>663503</v>
      </c>
      <c r="X31" s="1">
        <v>7050155</v>
      </c>
      <c r="Y31" s="1">
        <v>2705</v>
      </c>
      <c r="Z31" s="1">
        <v>7716363</v>
      </c>
      <c r="AA31" s="3">
        <v>8.5986493896152894</v>
      </c>
      <c r="AB31" s="3">
        <v>91.366295235203424</v>
      </c>
      <c r="AC31" s="3">
        <v>3.5055375181286832E-2</v>
      </c>
      <c r="AD31" s="1">
        <v>612399</v>
      </c>
      <c r="AE31" s="1">
        <v>48059</v>
      </c>
      <c r="AF31" s="1">
        <v>3045</v>
      </c>
      <c r="AG31" s="3">
        <v>92.297849444539054</v>
      </c>
      <c r="AH31" s="3">
        <v>7.2432227133863751</v>
      </c>
      <c r="AI31" s="3">
        <v>0.45892784207456488</v>
      </c>
      <c r="AJ31" s="1">
        <v>20473</v>
      </c>
      <c r="AK31" s="1">
        <v>392761</v>
      </c>
      <c r="AL31" s="1">
        <f t="shared" si="0"/>
        <v>5.2125847525594446</v>
      </c>
      <c r="AM31" s="1">
        <v>54586</v>
      </c>
      <c r="AN31" s="1">
        <v>814007</v>
      </c>
      <c r="AO31" s="1">
        <v>6.7058391389754641</v>
      </c>
      <c r="AP31" s="1">
        <v>32470</v>
      </c>
      <c r="AQ31" s="1">
        <v>411389</v>
      </c>
      <c r="AR31" s="1">
        <v>7.8927730201828448</v>
      </c>
      <c r="AS31" s="1">
        <v>33316</v>
      </c>
      <c r="AT31" s="1">
        <v>418032</v>
      </c>
      <c r="AU31" s="1">
        <v>7.9697248057564964</v>
      </c>
    </row>
    <row r="32" spans="1:47" x14ac:dyDescent="0.35">
      <c r="A32" s="4" t="s">
        <v>1</v>
      </c>
      <c r="B32" s="5" t="s">
        <v>34</v>
      </c>
      <c r="C32" s="5" t="s">
        <v>110</v>
      </c>
      <c r="D32" s="5" t="s">
        <v>124</v>
      </c>
      <c r="E32" s="6">
        <v>7.1</v>
      </c>
      <c r="F32" s="1">
        <v>9.5947182959999981</v>
      </c>
      <c r="G32" s="1">
        <v>9.7184386740000175</v>
      </c>
      <c r="H32" s="1">
        <v>9.4774285879999809</v>
      </c>
      <c r="I32" s="1">
        <v>5.986056469999995</v>
      </c>
      <c r="J32" s="1">
        <v>5.1214167599999918</v>
      </c>
      <c r="K32" s="1">
        <v>6.80566648000001</v>
      </c>
      <c r="L32" s="1">
        <v>88.160380900000007</v>
      </c>
      <c r="M32" s="1">
        <v>58.076431499999913</v>
      </c>
      <c r="N32" s="1">
        <v>72.857445906000052</v>
      </c>
      <c r="O32" s="1">
        <v>97.139738088999948</v>
      </c>
      <c r="P32" s="1">
        <v>92.953537774999916</v>
      </c>
      <c r="Q32" s="1">
        <v>75.327852555000163</v>
      </c>
      <c r="R32" s="1">
        <v>991733</v>
      </c>
      <c r="S32" s="1">
        <v>1329165</v>
      </c>
      <c r="T32" s="1">
        <v>2320898</v>
      </c>
      <c r="U32" s="3">
        <v>42.730572390514361</v>
      </c>
      <c r="V32" s="3">
        <v>57.269427609485632</v>
      </c>
      <c r="W32" s="1">
        <v>525092</v>
      </c>
      <c r="X32" s="1">
        <v>1689200</v>
      </c>
      <c r="Y32" s="1">
        <v>1639</v>
      </c>
      <c r="Z32" s="1">
        <v>2215931</v>
      </c>
      <c r="AA32" s="3">
        <v>23.696225198347783</v>
      </c>
      <c r="AB32" s="3">
        <v>76.22981040474636</v>
      </c>
      <c r="AC32" s="3">
        <v>7.3964396905860333E-2</v>
      </c>
      <c r="AD32" s="1">
        <v>497656</v>
      </c>
      <c r="AE32" s="1">
        <v>24640</v>
      </c>
      <c r="AF32" s="1">
        <v>2796</v>
      </c>
      <c r="AG32" s="3">
        <v>94.775010855240609</v>
      </c>
      <c r="AH32" s="3">
        <v>4.6925110266391412</v>
      </c>
      <c r="AI32" s="3">
        <v>0.53247811812025314</v>
      </c>
      <c r="AJ32" s="1">
        <v>7309</v>
      </c>
      <c r="AK32" s="1">
        <v>113136</v>
      </c>
      <c r="AL32" s="1">
        <f t="shared" si="0"/>
        <v>6.4603662848253434</v>
      </c>
      <c r="AM32" s="1">
        <v>21374</v>
      </c>
      <c r="AN32" s="1">
        <v>223511</v>
      </c>
      <c r="AO32" s="1">
        <v>9.5628403076358648</v>
      </c>
      <c r="AP32" s="1">
        <v>13742</v>
      </c>
      <c r="AQ32" s="1">
        <v>113447</v>
      </c>
      <c r="AR32" s="1">
        <v>12.113145345403581</v>
      </c>
      <c r="AS32" s="1">
        <v>15784</v>
      </c>
      <c r="AT32" s="1">
        <v>115677</v>
      </c>
      <c r="AU32" s="1">
        <v>13.644890514103928</v>
      </c>
    </row>
    <row r="33" spans="1:47" x14ac:dyDescent="0.35">
      <c r="A33" s="4" t="s">
        <v>0</v>
      </c>
      <c r="B33" s="5" t="s">
        <v>33</v>
      </c>
      <c r="C33" s="5" t="s">
        <v>111</v>
      </c>
      <c r="D33" s="5" t="s">
        <v>125</v>
      </c>
      <c r="E33" s="6">
        <v>0.1</v>
      </c>
      <c r="F33" s="1">
        <v>9.2455634269999933</v>
      </c>
      <c r="G33" s="1">
        <v>9.0836336880000079</v>
      </c>
      <c r="H33" s="1">
        <v>9.3953941820000058</v>
      </c>
      <c r="I33" s="10">
        <v>3.7519501000000002</v>
      </c>
      <c r="J33" s="1">
        <v>3.7522504400000036</v>
      </c>
      <c r="K33" s="1">
        <v>3.7516721899999954</v>
      </c>
      <c r="L33" s="1">
        <v>90.854435700000039</v>
      </c>
      <c r="M33" s="11">
        <v>55.547536000000001</v>
      </c>
      <c r="N33" s="1">
        <v>67.023698373000087</v>
      </c>
      <c r="O33" s="1">
        <v>96.702697744000019</v>
      </c>
      <c r="P33" s="1">
        <v>90.477463926000055</v>
      </c>
      <c r="Q33" s="1">
        <v>68.100838378999953</v>
      </c>
      <c r="R33" s="1">
        <v>8729</v>
      </c>
      <c r="S33" s="1">
        <v>1613409</v>
      </c>
      <c r="T33" s="1">
        <v>1622138</v>
      </c>
      <c r="U33" s="3">
        <v>0.53811697895000299</v>
      </c>
      <c r="V33" s="3">
        <v>99.461883021049999</v>
      </c>
      <c r="W33" s="1">
        <v>5005</v>
      </c>
      <c r="X33" s="1">
        <v>1526033</v>
      </c>
      <c r="Y33" s="1">
        <v>809</v>
      </c>
      <c r="Z33" s="1">
        <v>1531847</v>
      </c>
      <c r="AA33" s="3">
        <v>0.3267297582591473</v>
      </c>
      <c r="AB33" s="3">
        <v>99.620458178917346</v>
      </c>
      <c r="AC33" s="3">
        <v>5.2812062823506527E-2</v>
      </c>
      <c r="AD33" s="1">
        <v>4768</v>
      </c>
      <c r="AE33" s="1">
        <v>187</v>
      </c>
      <c r="AF33" s="1">
        <v>50</v>
      </c>
      <c r="AG33" s="3">
        <v>95.264735264735265</v>
      </c>
      <c r="AH33" s="3">
        <v>3.7362637362637363</v>
      </c>
      <c r="AI33" s="3">
        <v>0.99900099900099903</v>
      </c>
      <c r="AJ33" s="1">
        <v>329</v>
      </c>
      <c r="AK33" s="1">
        <v>95323</v>
      </c>
      <c r="AL33" s="1">
        <f t="shared" si="0"/>
        <v>0.3451423056345268</v>
      </c>
      <c r="AM33" s="1">
        <v>580</v>
      </c>
      <c r="AN33" s="1">
        <v>185303</v>
      </c>
      <c r="AO33" s="1">
        <v>0.31300086884723938</v>
      </c>
      <c r="AP33" s="1">
        <v>259</v>
      </c>
      <c r="AQ33" s="1">
        <v>89745</v>
      </c>
      <c r="AR33" s="1">
        <v>0.28859546492840826</v>
      </c>
      <c r="AS33" s="1">
        <v>283</v>
      </c>
      <c r="AT33" s="1">
        <v>85880</v>
      </c>
      <c r="AU33" s="1">
        <v>0.32952957615277129</v>
      </c>
    </row>
  </sheetData>
  <sortState xmlns:xlrd2="http://schemas.microsoft.com/office/spreadsheetml/2017/richdata2" ref="A2:Q33">
    <sortCondition ref="B2:B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Solís González</dc:creator>
  <cp:lastModifiedBy>Pablo Jesús Gómez Chávez</cp:lastModifiedBy>
  <dcterms:created xsi:type="dcterms:W3CDTF">2024-09-20T19:29:06Z</dcterms:created>
  <dcterms:modified xsi:type="dcterms:W3CDTF">2024-12-04T00:00:54Z</dcterms:modified>
</cp:coreProperties>
</file>